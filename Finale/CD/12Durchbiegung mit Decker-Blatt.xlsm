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130" codeName="{85106AD5-7665-2F1B-BB0A-E31DD656B090}"/>
  <workbookPr codeName="DieseArbeitsmappe"/>
  <mc:AlternateContent xmlns:mc="http://schemas.openxmlformats.org/markup-compatibility/2006">
    <mc:Choice Requires="x15">
      <x15ac:absPath xmlns:x15ac="http://schemas.microsoft.com/office/spreadsheetml/2010/11/ac" url="C:\Users\Anika\Documents\GitHub\KE3\"/>
    </mc:Choice>
  </mc:AlternateContent>
  <xr:revisionPtr revIDLastSave="0" documentId="8_{C7EFEC56-4E26-44F8-82A6-696790CA68BF}" xr6:coauthVersionLast="45" xr6:coauthVersionMax="45" xr10:uidLastSave="{00000000-0000-0000-0000-000000000000}"/>
  <workbookProtection lockStructure="1"/>
  <bookViews>
    <workbookView xWindow="-120" yWindow="-120" windowWidth="29040" windowHeight="15840" tabRatio="601" xr2:uid="{00000000-000D-0000-FFFF-FFFF00000000}"/>
  </bookViews>
  <sheets>
    <sheet name="Welle 60" sheetId="1" r:id="rId1"/>
    <sheet name="Y- Ebene" sheetId="2" r:id="rId2"/>
    <sheet name="X- Ebene" sheetId="3" r:id="rId3"/>
    <sheet name="modul1" sheetId="4" state="veryHidden" r:id=""/>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36" i="1" l="1"/>
  <c r="D138" i="1"/>
  <c r="D139" i="1" s="1"/>
  <c r="D141" i="1"/>
  <c r="D142" i="1" s="1"/>
  <c r="D144" i="1"/>
  <c r="D145" i="1" s="1"/>
  <c r="D147" i="1"/>
  <c r="D148" i="1" s="1"/>
  <c r="D156" i="1"/>
  <c r="D158" i="1"/>
  <c r="D159" i="1" s="1"/>
  <c r="D161" i="1"/>
  <c r="D162" i="1" s="1"/>
  <c r="D164" i="1"/>
  <c r="D165" i="1" s="1"/>
  <c r="D167" i="1"/>
  <c r="D168" i="1" s="1"/>
  <c r="D107" i="1"/>
  <c r="D87" i="1"/>
  <c r="D155" i="1"/>
  <c r="D135" i="1"/>
  <c r="D88" i="1"/>
  <c r="D108" i="1"/>
  <c r="B60" i="1"/>
  <c r="B47" i="1"/>
  <c r="B34" i="1"/>
  <c r="B73" i="1"/>
  <c r="D1" i="1"/>
  <c r="D96" i="1"/>
  <c r="D97" i="1" s="1"/>
  <c r="D99" i="1"/>
  <c r="D100" i="1" s="1"/>
  <c r="D90" i="1"/>
  <c r="D91" i="1" s="1"/>
  <c r="D116" i="1"/>
  <c r="D117" i="1" s="1"/>
  <c r="D120" i="1"/>
  <c r="D121" i="1" s="1"/>
  <c r="D113" i="1"/>
  <c r="D114" i="1" s="1"/>
  <c r="D110" i="1"/>
  <c r="D111" i="1" s="1"/>
  <c r="D207" i="3"/>
  <c r="D262" i="3"/>
  <c r="D126" i="3"/>
  <c r="D70" i="3"/>
  <c r="D234" i="3"/>
  <c r="D178" i="3"/>
  <c r="D97" i="3"/>
  <c r="D43" i="3"/>
  <c r="D97" i="2"/>
  <c r="D70" i="2"/>
  <c r="D262" i="2"/>
  <c r="D234" i="2"/>
  <c r="D207" i="2"/>
  <c r="D126" i="2"/>
  <c r="D179" i="2"/>
  <c r="D43" i="2"/>
  <c r="D93" i="1" l="1"/>
  <c r="D103" i="1" s="1"/>
  <c r="D173" i="1"/>
  <c r="D174" i="1"/>
  <c r="D151" i="1"/>
  <c r="D152" i="1"/>
  <c r="D124" i="1"/>
  <c r="D125" i="1"/>
  <c r="D178" i="1" l="1"/>
  <c r="D179" i="1" s="1"/>
  <c r="D94" i="1"/>
  <c r="D104" i="1" s="1"/>
  <c r="D128" i="1" s="1"/>
  <c r="D130" i="1" s="1"/>
  <c r="D180" i="1" l="1"/>
  <c r="D185" i="1" s="1"/>
  <c r="B190" i="1" s="1"/>
  <c r="D181" i="1"/>
  <c r="D129" i="1"/>
  <c r="D184" i="1" s="1"/>
  <c r="B189" i="1" s="1"/>
  <c r="D131" i="1"/>
  <c r="D186" i="1" l="1"/>
  <c r="D187" i="1" s="1"/>
  <c r="B19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A1" authorId="0" shapeId="0" xr:uid="{00000000-0006-0000-0000-000001000000}">
      <text>
        <r>
          <rPr>
            <b/>
            <sz val="8"/>
            <color indexed="81"/>
            <rFont val="Tahoma"/>
            <family val="2"/>
          </rPr>
          <t xml:space="preserve">  
</t>
        </r>
        <r>
          <rPr>
            <sz val="8"/>
            <color indexed="81"/>
            <rFont val="Tahoma"/>
            <family val="2"/>
          </rPr>
          <t>Informationen zu diesem Programm:
Durchbiegung
Abschnitt:
15.6
Beispiel:
15.6
Aufgaben:
A15.30, ohne Teil 5
A15.31,
A15.32,
A15.33,
A15.34.</t>
        </r>
        <r>
          <rPr>
            <sz val="8"/>
            <color indexed="81"/>
            <rFont val="Tahoma"/>
            <family val="2"/>
          </rPr>
          <t xml:space="preserve">
</t>
        </r>
      </text>
    </comment>
    <comment ref="B22" authorId="0" shapeId="0" xr:uid="{00000000-0006-0000-0000-000002000000}">
      <text>
        <r>
          <rPr>
            <b/>
            <sz val="8"/>
            <color indexed="81"/>
            <rFont val="Tahoma"/>
            <family val="2"/>
          </rPr>
          <t xml:space="preserve">  
</t>
        </r>
        <r>
          <rPr>
            <sz val="8"/>
            <color indexed="81"/>
            <rFont val="Tahoma"/>
            <family val="2"/>
          </rPr>
          <t>Erfahrungsgemäß wird für die Gesamtneigungswinkel 1...2·10</t>
        </r>
        <r>
          <rPr>
            <vertAlign val="superscript"/>
            <sz val="8"/>
            <color indexed="81"/>
            <rFont val="Tahoma"/>
            <family val="2"/>
          </rPr>
          <t>-3</t>
        </r>
        <r>
          <rPr>
            <sz val="8"/>
            <color indexed="81"/>
            <rFont val="Tahoma"/>
            <family val="2"/>
          </rPr>
          <t xml:space="preserve"> rad gewählt, wobei kleine Werte bei Langgleitlagern und große Werte bei Kurzgleitlagern und Wälzlagern einzusetzen sind.
</t>
        </r>
      </text>
    </comment>
    <comment ref="B23" authorId="0" shapeId="0" xr:uid="{00000000-0006-0000-0000-000003000000}">
      <text>
        <r>
          <rPr>
            <b/>
            <sz val="8"/>
            <color indexed="81"/>
            <rFont val="Tahoma"/>
            <family val="2"/>
          </rPr>
          <t xml:space="preserve">  
</t>
        </r>
        <r>
          <rPr>
            <sz val="8"/>
            <color indexed="81"/>
            <rFont val="Tahoma"/>
            <family val="2"/>
          </rPr>
          <t>Gesamtdurchbiegung=(0,3...0,5·10</t>
        </r>
        <r>
          <rPr>
            <vertAlign val="superscript"/>
            <sz val="8"/>
            <color indexed="81"/>
            <rFont val="Tahoma"/>
            <family val="2"/>
          </rPr>
          <t>-3</t>
        </r>
        <r>
          <rPr>
            <sz val="8"/>
            <color indexed="81"/>
            <rFont val="Tahoma"/>
            <family val="2"/>
          </rPr>
          <t>)·L.</t>
        </r>
        <r>
          <rPr>
            <sz val="8"/>
            <color indexed="81"/>
            <rFont val="Tahoma"/>
            <family val="2"/>
          </rPr>
          <t xml:space="preserve">
</t>
        </r>
      </text>
    </comment>
    <comment ref="B32" authorId="0" shapeId="0" xr:uid="{00000000-0006-0000-0000-000004000000}">
      <text>
        <r>
          <rPr>
            <b/>
            <sz val="8"/>
            <color indexed="81"/>
            <rFont val="Tahoma"/>
            <family val="2"/>
          </rPr>
          <t xml:space="preserve">  
</t>
        </r>
        <r>
          <rPr>
            <sz val="8"/>
            <color indexed="81"/>
            <rFont val="Tahoma"/>
            <family val="2"/>
          </rPr>
          <t xml:space="preserve">
Gehen Neigungswinkel </t>
        </r>
        <r>
          <rPr>
            <sz val="8"/>
            <color indexed="81"/>
            <rFont val="Symbol"/>
            <family val="1"/>
            <charset val="2"/>
          </rPr>
          <t>b</t>
        </r>
        <r>
          <rPr>
            <vertAlign val="subscript"/>
            <sz val="8"/>
            <color indexed="81"/>
            <rFont val="Tahoma"/>
            <family val="2"/>
          </rPr>
          <t>Ai</t>
        </r>
        <r>
          <rPr>
            <sz val="8"/>
            <color indexed="81"/>
            <rFont val="Tahoma"/>
            <family val="2"/>
          </rPr>
          <t xml:space="preserve"> und Durchbiegung f</t>
        </r>
        <r>
          <rPr>
            <vertAlign val="subscript"/>
            <sz val="8"/>
            <color indexed="81"/>
            <rFont val="Tahoma"/>
            <family val="2"/>
          </rPr>
          <t xml:space="preserve">Ai </t>
        </r>
        <r>
          <rPr>
            <sz val="8"/>
            <color indexed="81"/>
            <rFont val="Tahoma"/>
            <family val="2"/>
          </rPr>
          <t>nach oben, so ist der Betrag der Kraft F</t>
        </r>
        <r>
          <rPr>
            <vertAlign val="subscript"/>
            <sz val="8"/>
            <color indexed="81"/>
            <rFont val="Tahoma"/>
            <family val="2"/>
          </rPr>
          <t>i</t>
        </r>
        <r>
          <rPr>
            <sz val="8"/>
            <color indexed="81"/>
            <rFont val="Tahoma"/>
            <family val="2"/>
          </rPr>
          <t xml:space="preserve"> positiv, gehen beide nach unten, so ist der Betrag von F</t>
        </r>
        <r>
          <rPr>
            <vertAlign val="subscript"/>
            <sz val="8"/>
            <color indexed="81"/>
            <rFont val="Tahoma"/>
            <family val="2"/>
          </rPr>
          <t xml:space="preserve">i </t>
        </r>
        <r>
          <rPr>
            <sz val="8"/>
            <color indexed="81"/>
            <rFont val="Tahoma"/>
            <family val="2"/>
          </rPr>
          <t>negativ einzusetzen.</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B15" authorId="0" shapeId="0" xr:uid="{00000000-0006-0000-0100-000001000000}">
      <text>
        <r>
          <rPr>
            <b/>
            <sz val="8"/>
            <color indexed="81"/>
            <rFont val="Tahoma"/>
            <family val="2"/>
          </rPr>
          <t xml:space="preserve">  
</t>
        </r>
        <r>
          <rPr>
            <sz val="8"/>
            <color indexed="81"/>
            <rFont val="Tahoma"/>
            <family val="2"/>
          </rPr>
          <t>Falls es sich um eine einstufige Welle handelt, sind für l2, d2, l3, d3 die Werte des 1. Wellenabschnittes einzusetzen.
Bei einer zweistufigen Welle erhalten l3 und d3 die Werte des 2.Wellenabschnittes.</t>
        </r>
        <r>
          <rPr>
            <sz val="8"/>
            <color indexed="81"/>
            <rFont val="Tahoma"/>
            <family val="2"/>
          </rPr>
          <t xml:space="preserve">
</t>
        </r>
      </text>
    </comment>
    <comment ref="B151" authorId="0" shapeId="0" xr:uid="{00000000-0006-0000-0100-000002000000}">
      <text>
        <r>
          <rPr>
            <b/>
            <sz val="8"/>
            <color indexed="81"/>
            <rFont val="Tahoma"/>
            <family val="2"/>
          </rPr>
          <t xml:space="preserve">  
</t>
        </r>
        <r>
          <rPr>
            <sz val="8"/>
            <color indexed="81"/>
            <rFont val="Tahoma"/>
            <family val="2"/>
          </rPr>
          <t>Falls es sich um eine einstufige Welle handelt, sind für l2, d2, l3, d3 die Werte des ersten Wellenabschnittes einzusetzen.
Bei einer zweistufigen Welle erhalten l3 und d3 die Werte des zweiten Wellenabschnittes.</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B15" authorId="0" shapeId="0" xr:uid="{00000000-0006-0000-0200-000001000000}">
      <text>
        <r>
          <rPr>
            <b/>
            <sz val="8"/>
            <color indexed="81"/>
            <rFont val="Tahoma"/>
            <family val="2"/>
          </rPr>
          <t xml:space="preserve">
</t>
        </r>
        <r>
          <rPr>
            <sz val="8"/>
            <color indexed="81"/>
            <rFont val="Tahoma"/>
            <family val="2"/>
          </rPr>
          <t>Falls eine einstufige Welle vorliegt, sind für l2, d2, l3, d3 die Werte des ersten Wellenabschnittes einzutragen. 
Bei einer zweistufigen Welle erhalten l3 und d3 die Werte des zweiten Wellenabschnittes.</t>
        </r>
        <r>
          <rPr>
            <sz val="8"/>
            <color indexed="81"/>
            <rFont val="Tahoma"/>
            <family val="2"/>
          </rPr>
          <t xml:space="preserve">
</t>
        </r>
      </text>
    </comment>
    <comment ref="B151" authorId="0" shapeId="0" xr:uid="{00000000-0006-0000-0200-000002000000}">
      <text>
        <r>
          <rPr>
            <b/>
            <sz val="8"/>
            <color indexed="81"/>
            <rFont val="Tahoma"/>
            <family val="2"/>
          </rPr>
          <t xml:space="preserve">  
</t>
        </r>
        <r>
          <rPr>
            <sz val="8"/>
            <color indexed="81"/>
            <rFont val="Tahoma"/>
            <family val="2"/>
          </rPr>
          <t>Falls eine einstufige Welle vorliegt, sind für l2, d2, l3, d3 die Werte des ersten Wellenabschnittes einzutragen.
Bei einer zweistufigen Welle erhalten l3 und d3 die Werte des zweiten Wellenabschnittes.</t>
        </r>
        <r>
          <rPr>
            <sz val="8"/>
            <color indexed="81"/>
            <rFont val="Tahoma"/>
            <family val="2"/>
          </rPr>
          <t xml:space="preserve">
</t>
        </r>
      </text>
    </comment>
  </commentList>
</comments>
</file>

<file path=xl/sharedStrings.xml><?xml version="1.0" encoding="utf-8"?>
<sst xmlns="http://schemas.openxmlformats.org/spreadsheetml/2006/main" count="496" uniqueCount="160">
  <si>
    <t>Datum:</t>
  </si>
  <si>
    <t>Quelle:</t>
  </si>
  <si>
    <t>Kapitel:</t>
  </si>
  <si>
    <t>15 - Achsen und Wellen</t>
  </si>
  <si>
    <t>Thema:</t>
  </si>
  <si>
    <t>Durchbiegung</t>
  </si>
  <si>
    <t>Problem:</t>
  </si>
  <si>
    <t>Neigungswinkel und Durchbiegung</t>
  </si>
  <si>
    <t>gegeben:</t>
  </si>
  <si>
    <t>zulässiger Gesamtneigungswinkel der Zapfen</t>
  </si>
  <si>
    <r>
      <t>b</t>
    </r>
    <r>
      <rPr>
        <vertAlign val="subscript"/>
        <sz val="10"/>
        <rFont val="Arial"/>
        <family val="2"/>
      </rPr>
      <t xml:space="preserve">LAzul </t>
    </r>
    <r>
      <rPr>
        <sz val="10"/>
        <rFont val="Arial"/>
        <family val="2"/>
      </rPr>
      <t>(10</t>
    </r>
    <r>
      <rPr>
        <vertAlign val="superscript"/>
        <sz val="10"/>
        <rFont val="Arial"/>
        <family val="2"/>
      </rPr>
      <t>-3</t>
    </r>
    <r>
      <rPr>
        <sz val="10"/>
        <rFont val="Arial"/>
        <family val="2"/>
      </rPr>
      <t xml:space="preserve"> rad)</t>
    </r>
  </si>
  <si>
    <t>in den Lagern</t>
  </si>
  <si>
    <r>
      <t>b</t>
    </r>
    <r>
      <rPr>
        <vertAlign val="subscript"/>
        <sz val="10"/>
        <rFont val="Arial"/>
        <family val="2"/>
      </rPr>
      <t xml:space="preserve">LBzul </t>
    </r>
    <r>
      <rPr>
        <sz val="10"/>
        <rFont val="Arial"/>
        <family val="2"/>
      </rPr>
      <t>(10</t>
    </r>
    <r>
      <rPr>
        <vertAlign val="superscript"/>
        <sz val="10"/>
        <rFont val="Arial"/>
        <family val="2"/>
      </rPr>
      <t>-3</t>
    </r>
    <r>
      <rPr>
        <sz val="10"/>
        <rFont val="Arial"/>
        <family val="2"/>
      </rPr>
      <t xml:space="preserve"> rad)</t>
    </r>
  </si>
  <si>
    <t>zulässige Gesamtdurchbiegung</t>
  </si>
  <si>
    <r>
      <t>f</t>
    </r>
    <r>
      <rPr>
        <vertAlign val="subscript"/>
        <sz val="10"/>
        <rFont val="Arial"/>
        <family val="2"/>
      </rPr>
      <t>zul</t>
    </r>
    <r>
      <rPr>
        <sz val="10"/>
        <rFont val="Arial"/>
        <family val="2"/>
      </rPr>
      <t xml:space="preserve"> (</t>
    </r>
    <r>
      <rPr>
        <sz val="10"/>
        <rFont val="Symbol"/>
        <family val="1"/>
        <charset val="2"/>
      </rPr>
      <t>m</t>
    </r>
    <r>
      <rPr>
        <sz val="10"/>
        <rFont val="Arial"/>
        <family val="2"/>
      </rPr>
      <t>m)</t>
    </r>
  </si>
  <si>
    <t>Elastizitätsmodul</t>
  </si>
  <si>
    <r>
      <t>E (10</t>
    </r>
    <r>
      <rPr>
        <vertAlign val="superscript"/>
        <sz val="10"/>
        <rFont val="Arial"/>
        <family val="2"/>
      </rPr>
      <t xml:space="preserve">5 </t>
    </r>
    <r>
      <rPr>
        <sz val="10"/>
        <rFont val="Arial"/>
        <family val="2"/>
      </rPr>
      <t>N/mm</t>
    </r>
    <r>
      <rPr>
        <vertAlign val="superscript"/>
        <sz val="10"/>
        <rFont val="Arial"/>
        <family val="2"/>
      </rPr>
      <t>2</t>
    </r>
    <r>
      <rPr>
        <sz val="10"/>
        <rFont val="Arial"/>
        <family val="2"/>
      </rPr>
      <t>)</t>
    </r>
  </si>
  <si>
    <t>gesucht:</t>
  </si>
  <si>
    <t>Neigungswinkel der Zapfen in den Lagern und</t>
  </si>
  <si>
    <t>Durchbiegung der Welle</t>
  </si>
  <si>
    <t>Lösung:</t>
  </si>
  <si>
    <t>Werte der Kräfte zu löschen.</t>
  </si>
  <si>
    <t>Auswahl der Belastungsfälle</t>
  </si>
  <si>
    <t>Belastungsfälle :</t>
  </si>
  <si>
    <t>Lagerseite A, Y- Ebene</t>
  </si>
  <si>
    <t>Belastungs-</t>
  </si>
  <si>
    <t>Neigungswinkel</t>
  </si>
  <si>
    <r>
      <t>b</t>
    </r>
    <r>
      <rPr>
        <vertAlign val="subscript"/>
        <sz val="10"/>
        <rFont val="Arial"/>
        <family val="2"/>
      </rPr>
      <t xml:space="preserve">AAy </t>
    </r>
    <r>
      <rPr>
        <sz val="10"/>
        <rFont val="Arial"/>
        <family val="2"/>
      </rPr>
      <t>(10</t>
    </r>
    <r>
      <rPr>
        <vertAlign val="superscript"/>
        <sz val="10"/>
        <rFont val="Arial"/>
        <family val="2"/>
      </rPr>
      <t>-3</t>
    </r>
    <r>
      <rPr>
        <sz val="10"/>
        <rFont val="Arial"/>
        <family val="2"/>
      </rPr>
      <t xml:space="preserve"> rad)</t>
    </r>
  </si>
  <si>
    <t>fall 1</t>
  </si>
  <si>
    <t xml:space="preserve">Durchbiegung </t>
  </si>
  <si>
    <r>
      <t>f</t>
    </r>
    <r>
      <rPr>
        <vertAlign val="subscript"/>
        <sz val="10"/>
        <rFont val="Arial"/>
        <family val="2"/>
      </rPr>
      <t xml:space="preserve">AAy </t>
    </r>
    <r>
      <rPr>
        <sz val="10"/>
        <rFont val="Arial"/>
        <family val="2"/>
      </rPr>
      <t>(10</t>
    </r>
    <r>
      <rPr>
        <vertAlign val="superscript"/>
        <sz val="10"/>
        <rFont val="Arial"/>
        <family val="2"/>
      </rPr>
      <t>-3</t>
    </r>
    <r>
      <rPr>
        <sz val="10"/>
        <rFont val="Arial"/>
        <family val="2"/>
      </rPr>
      <t xml:space="preserve"> cm)</t>
    </r>
  </si>
  <si>
    <r>
      <t>b</t>
    </r>
    <r>
      <rPr>
        <vertAlign val="subscript"/>
        <sz val="10"/>
        <rFont val="Arial"/>
        <family val="2"/>
      </rPr>
      <t xml:space="preserve">Aiy </t>
    </r>
    <r>
      <rPr>
        <sz val="10"/>
        <rFont val="Arial"/>
        <family val="2"/>
      </rPr>
      <t>(10</t>
    </r>
    <r>
      <rPr>
        <vertAlign val="superscript"/>
        <sz val="10"/>
        <rFont val="Arial"/>
        <family val="2"/>
      </rPr>
      <t>-3</t>
    </r>
    <r>
      <rPr>
        <sz val="10"/>
        <rFont val="Arial"/>
        <family val="2"/>
      </rPr>
      <t xml:space="preserve"> rad)</t>
    </r>
    <r>
      <rPr>
        <vertAlign val="subscript"/>
        <sz val="10"/>
        <rFont val="Arial"/>
        <family val="2"/>
      </rPr>
      <t xml:space="preserve">   </t>
    </r>
  </si>
  <si>
    <t>fall 2</t>
  </si>
  <si>
    <r>
      <t>f</t>
    </r>
    <r>
      <rPr>
        <vertAlign val="subscript"/>
        <sz val="10"/>
        <rFont val="Arial"/>
        <family val="2"/>
      </rPr>
      <t>Aiy</t>
    </r>
    <r>
      <rPr>
        <sz val="10"/>
        <rFont val="Arial"/>
        <family val="2"/>
      </rPr>
      <t xml:space="preserve"> (10</t>
    </r>
    <r>
      <rPr>
        <vertAlign val="superscript"/>
        <sz val="10"/>
        <rFont val="Arial"/>
        <family val="2"/>
      </rPr>
      <t>-3</t>
    </r>
    <r>
      <rPr>
        <sz val="10"/>
        <rFont val="Arial"/>
        <family val="2"/>
      </rPr>
      <t xml:space="preserve"> cm)</t>
    </r>
  </si>
  <si>
    <r>
      <t xml:space="preserve">Neigungswinkel </t>
    </r>
    <r>
      <rPr>
        <sz val="10"/>
        <rFont val="Symbol"/>
        <family val="1"/>
        <charset val="2"/>
      </rPr>
      <t/>
    </r>
  </si>
  <si>
    <r>
      <t>b</t>
    </r>
    <r>
      <rPr>
        <vertAlign val="subscript"/>
        <sz val="10"/>
        <rFont val="Arial"/>
        <family val="2"/>
      </rPr>
      <t xml:space="preserve">Aiy </t>
    </r>
    <r>
      <rPr>
        <sz val="10"/>
        <rFont val="Arial"/>
        <family val="2"/>
      </rPr>
      <t>(10</t>
    </r>
    <r>
      <rPr>
        <vertAlign val="superscript"/>
        <sz val="10"/>
        <rFont val="Arial"/>
        <family val="2"/>
      </rPr>
      <t>-3</t>
    </r>
    <r>
      <rPr>
        <sz val="10"/>
        <rFont val="Arial"/>
        <family val="2"/>
      </rPr>
      <t xml:space="preserve"> rad)</t>
    </r>
  </si>
  <si>
    <t>fall 3</t>
  </si>
  <si>
    <r>
      <t>f</t>
    </r>
    <r>
      <rPr>
        <vertAlign val="subscript"/>
        <sz val="10"/>
        <rFont val="Arial"/>
        <family val="2"/>
      </rPr>
      <t xml:space="preserve">Aiy </t>
    </r>
    <r>
      <rPr>
        <sz val="10"/>
        <rFont val="Arial"/>
        <family val="2"/>
      </rPr>
      <t>(10</t>
    </r>
    <r>
      <rPr>
        <vertAlign val="superscript"/>
        <sz val="10"/>
        <rFont val="Arial"/>
        <family val="2"/>
      </rPr>
      <t>-3</t>
    </r>
    <r>
      <rPr>
        <sz val="10"/>
        <rFont val="Arial"/>
        <family val="2"/>
      </rPr>
      <t xml:space="preserve"> cm)</t>
    </r>
  </si>
  <si>
    <r>
      <t>b</t>
    </r>
    <r>
      <rPr>
        <vertAlign val="subscript"/>
        <sz val="10"/>
        <rFont val="Arial"/>
        <family val="2"/>
      </rPr>
      <t>Aiy</t>
    </r>
    <r>
      <rPr>
        <sz val="10"/>
        <rFont val="Arial"/>
        <family val="2"/>
      </rPr>
      <t xml:space="preserve"> (10</t>
    </r>
    <r>
      <rPr>
        <vertAlign val="superscript"/>
        <sz val="10"/>
        <rFont val="Arial"/>
        <family val="2"/>
      </rPr>
      <t>-3</t>
    </r>
    <r>
      <rPr>
        <sz val="10"/>
        <rFont val="Arial"/>
        <family val="2"/>
      </rPr>
      <t xml:space="preserve"> rad)</t>
    </r>
  </si>
  <si>
    <t>fall 4</t>
  </si>
  <si>
    <r>
      <t>f</t>
    </r>
    <r>
      <rPr>
        <vertAlign val="subscript"/>
        <sz val="10"/>
        <rFont val="Arial"/>
        <family val="2"/>
      </rPr>
      <t>Aiy</t>
    </r>
    <r>
      <rPr>
        <vertAlign val="superscript"/>
        <sz val="10"/>
        <rFont val="Arial"/>
        <family val="2"/>
      </rPr>
      <t xml:space="preserve"> </t>
    </r>
    <r>
      <rPr>
        <sz val="10"/>
        <rFont val="Arial"/>
        <family val="2"/>
      </rPr>
      <t>(10</t>
    </r>
    <r>
      <rPr>
        <vertAlign val="superscript"/>
        <sz val="10"/>
        <rFont val="Arial"/>
        <family val="2"/>
      </rPr>
      <t xml:space="preserve">-3 </t>
    </r>
    <r>
      <rPr>
        <sz val="10"/>
        <rFont val="Arial"/>
        <family val="2"/>
      </rPr>
      <t>cm)</t>
    </r>
  </si>
  <si>
    <t>fall 5</t>
  </si>
  <si>
    <t>Zusammenfassung Fall 1 bis 5</t>
  </si>
  <si>
    <t>Neigungswinkel der Lagerseite A, Y -Ebene</t>
  </si>
  <si>
    <r>
      <t>b</t>
    </r>
    <r>
      <rPr>
        <vertAlign val="subscript"/>
        <sz val="10"/>
        <rFont val="Arial"/>
        <family val="2"/>
      </rPr>
      <t xml:space="preserve">Ay </t>
    </r>
    <r>
      <rPr>
        <sz val="10"/>
        <rFont val="Arial"/>
        <family val="2"/>
      </rPr>
      <t>(10</t>
    </r>
    <r>
      <rPr>
        <vertAlign val="superscript"/>
        <sz val="10"/>
        <rFont val="Arial"/>
        <family val="2"/>
      </rPr>
      <t>-3</t>
    </r>
    <r>
      <rPr>
        <sz val="10"/>
        <rFont val="Arial"/>
        <family val="2"/>
      </rPr>
      <t xml:space="preserve"> rad)</t>
    </r>
  </si>
  <si>
    <t>Durchbiegung der Lagerseite A, Y- Ebene</t>
  </si>
  <si>
    <r>
      <t>f</t>
    </r>
    <r>
      <rPr>
        <vertAlign val="subscript"/>
        <sz val="10"/>
        <rFont val="Arial"/>
        <family val="2"/>
      </rPr>
      <t xml:space="preserve">Ay </t>
    </r>
    <r>
      <rPr>
        <sz val="10"/>
        <rFont val="Arial"/>
        <family val="2"/>
      </rPr>
      <t>(10</t>
    </r>
    <r>
      <rPr>
        <vertAlign val="superscript"/>
        <sz val="10"/>
        <rFont val="Arial"/>
        <family val="2"/>
      </rPr>
      <t>-3</t>
    </r>
    <r>
      <rPr>
        <sz val="10"/>
        <rFont val="Arial"/>
        <family val="2"/>
      </rPr>
      <t xml:space="preserve"> cm)</t>
    </r>
  </si>
  <si>
    <t>Lagerseite B, Y- Ebene</t>
  </si>
  <si>
    <r>
      <t>b</t>
    </r>
    <r>
      <rPr>
        <vertAlign val="subscript"/>
        <sz val="10"/>
        <rFont val="Arial"/>
        <family val="2"/>
      </rPr>
      <t xml:space="preserve">BBy </t>
    </r>
    <r>
      <rPr>
        <sz val="10"/>
        <rFont val="Arial"/>
        <family val="2"/>
      </rPr>
      <t>(10</t>
    </r>
    <r>
      <rPr>
        <vertAlign val="superscript"/>
        <sz val="10"/>
        <rFont val="Arial"/>
        <family val="2"/>
      </rPr>
      <t>-3</t>
    </r>
    <r>
      <rPr>
        <sz val="10"/>
        <rFont val="Arial"/>
        <family val="2"/>
      </rPr>
      <t xml:space="preserve"> rad)</t>
    </r>
  </si>
  <si>
    <r>
      <t>f</t>
    </r>
    <r>
      <rPr>
        <vertAlign val="subscript"/>
        <sz val="10"/>
        <rFont val="Arial"/>
        <family val="2"/>
      </rPr>
      <t xml:space="preserve">BBy </t>
    </r>
    <r>
      <rPr>
        <sz val="10"/>
        <rFont val="Arial"/>
        <family val="2"/>
      </rPr>
      <t>(10</t>
    </r>
    <r>
      <rPr>
        <vertAlign val="superscript"/>
        <sz val="10"/>
        <rFont val="Arial"/>
        <family val="2"/>
      </rPr>
      <t>-3</t>
    </r>
    <r>
      <rPr>
        <sz val="10"/>
        <rFont val="Arial"/>
        <family val="2"/>
      </rPr>
      <t xml:space="preserve"> cm)</t>
    </r>
  </si>
  <si>
    <r>
      <t>b</t>
    </r>
    <r>
      <rPr>
        <vertAlign val="subscript"/>
        <sz val="10"/>
        <rFont val="Arial"/>
        <family val="2"/>
      </rPr>
      <t xml:space="preserve">Biy </t>
    </r>
    <r>
      <rPr>
        <sz val="10"/>
        <rFont val="Arial"/>
        <family val="2"/>
      </rPr>
      <t>(10</t>
    </r>
    <r>
      <rPr>
        <vertAlign val="superscript"/>
        <sz val="10"/>
        <rFont val="Arial"/>
        <family val="2"/>
      </rPr>
      <t>-3</t>
    </r>
    <r>
      <rPr>
        <sz val="10"/>
        <rFont val="Arial"/>
        <family val="2"/>
      </rPr>
      <t xml:space="preserve"> rad)</t>
    </r>
    <r>
      <rPr>
        <vertAlign val="subscript"/>
        <sz val="10"/>
        <rFont val="Arial"/>
        <family val="2"/>
      </rPr>
      <t xml:space="preserve">   </t>
    </r>
  </si>
  <si>
    <r>
      <t>f</t>
    </r>
    <r>
      <rPr>
        <vertAlign val="subscript"/>
        <sz val="10"/>
        <rFont val="Arial"/>
        <family val="2"/>
      </rPr>
      <t>Biy</t>
    </r>
    <r>
      <rPr>
        <sz val="10"/>
        <rFont val="Arial"/>
        <family val="2"/>
      </rPr>
      <t xml:space="preserve"> (10</t>
    </r>
    <r>
      <rPr>
        <vertAlign val="superscript"/>
        <sz val="10"/>
        <rFont val="Arial"/>
        <family val="2"/>
      </rPr>
      <t>-3</t>
    </r>
    <r>
      <rPr>
        <sz val="10"/>
        <rFont val="Arial"/>
        <family val="2"/>
      </rPr>
      <t xml:space="preserve"> cm)</t>
    </r>
  </si>
  <si>
    <r>
      <t>b</t>
    </r>
    <r>
      <rPr>
        <vertAlign val="subscript"/>
        <sz val="10"/>
        <rFont val="Arial"/>
        <family val="2"/>
      </rPr>
      <t xml:space="preserve">Biy </t>
    </r>
    <r>
      <rPr>
        <sz val="10"/>
        <rFont val="Arial"/>
        <family val="2"/>
      </rPr>
      <t>(10</t>
    </r>
    <r>
      <rPr>
        <vertAlign val="superscript"/>
        <sz val="10"/>
        <rFont val="Arial"/>
        <family val="2"/>
      </rPr>
      <t>-3</t>
    </r>
    <r>
      <rPr>
        <sz val="10"/>
        <rFont val="Arial"/>
        <family val="2"/>
      </rPr>
      <t xml:space="preserve"> rad)</t>
    </r>
  </si>
  <si>
    <r>
      <t>f</t>
    </r>
    <r>
      <rPr>
        <vertAlign val="subscript"/>
        <sz val="10"/>
        <rFont val="Arial"/>
        <family val="2"/>
      </rPr>
      <t xml:space="preserve">Biy </t>
    </r>
    <r>
      <rPr>
        <sz val="10"/>
        <rFont val="Arial"/>
        <family val="2"/>
      </rPr>
      <t>(10</t>
    </r>
    <r>
      <rPr>
        <vertAlign val="superscript"/>
        <sz val="10"/>
        <rFont val="Arial"/>
        <family val="2"/>
      </rPr>
      <t>-3</t>
    </r>
    <r>
      <rPr>
        <sz val="10"/>
        <rFont val="Arial"/>
        <family val="2"/>
      </rPr>
      <t xml:space="preserve"> cm)</t>
    </r>
  </si>
  <si>
    <r>
      <t>b</t>
    </r>
    <r>
      <rPr>
        <vertAlign val="subscript"/>
        <sz val="10"/>
        <rFont val="Arial"/>
        <family val="2"/>
      </rPr>
      <t>Biy</t>
    </r>
    <r>
      <rPr>
        <sz val="10"/>
        <rFont val="Arial"/>
        <family val="2"/>
      </rPr>
      <t xml:space="preserve"> (10</t>
    </r>
    <r>
      <rPr>
        <vertAlign val="superscript"/>
        <sz val="10"/>
        <rFont val="Arial"/>
        <family val="2"/>
      </rPr>
      <t>-3</t>
    </r>
    <r>
      <rPr>
        <sz val="10"/>
        <rFont val="Arial"/>
        <family val="2"/>
      </rPr>
      <t xml:space="preserve"> rad)</t>
    </r>
  </si>
  <si>
    <r>
      <t>f</t>
    </r>
    <r>
      <rPr>
        <vertAlign val="subscript"/>
        <sz val="10"/>
        <rFont val="Arial"/>
        <family val="2"/>
      </rPr>
      <t>Biy</t>
    </r>
    <r>
      <rPr>
        <vertAlign val="superscript"/>
        <sz val="10"/>
        <rFont val="Arial"/>
        <family val="2"/>
      </rPr>
      <t xml:space="preserve"> </t>
    </r>
    <r>
      <rPr>
        <sz val="10"/>
        <rFont val="Arial"/>
        <family val="2"/>
      </rPr>
      <t>(10</t>
    </r>
    <r>
      <rPr>
        <vertAlign val="superscript"/>
        <sz val="10"/>
        <rFont val="Arial"/>
        <family val="2"/>
      </rPr>
      <t xml:space="preserve">-3 </t>
    </r>
    <r>
      <rPr>
        <sz val="10"/>
        <rFont val="Arial"/>
        <family val="2"/>
      </rPr>
      <t>cm)</t>
    </r>
  </si>
  <si>
    <t>Neigungswinkel der Lagerseite B, Y -Ebene</t>
  </si>
  <si>
    <r>
      <t>b</t>
    </r>
    <r>
      <rPr>
        <vertAlign val="subscript"/>
        <sz val="10"/>
        <rFont val="Arial"/>
        <family val="2"/>
      </rPr>
      <t xml:space="preserve">By </t>
    </r>
    <r>
      <rPr>
        <sz val="10"/>
        <rFont val="Arial"/>
        <family val="2"/>
      </rPr>
      <t>(10</t>
    </r>
    <r>
      <rPr>
        <vertAlign val="superscript"/>
        <sz val="10"/>
        <rFont val="Arial"/>
        <family val="2"/>
      </rPr>
      <t>-3</t>
    </r>
    <r>
      <rPr>
        <sz val="10"/>
        <rFont val="Arial"/>
        <family val="2"/>
      </rPr>
      <t xml:space="preserve"> rad)</t>
    </r>
  </si>
  <si>
    <t>Durchbiegung der Lagerseite B, Y- Ebene</t>
  </si>
  <si>
    <r>
      <t>f</t>
    </r>
    <r>
      <rPr>
        <vertAlign val="subscript"/>
        <sz val="10"/>
        <rFont val="Arial"/>
        <family val="2"/>
      </rPr>
      <t xml:space="preserve">By </t>
    </r>
    <r>
      <rPr>
        <sz val="10"/>
        <rFont val="Arial"/>
        <family val="2"/>
      </rPr>
      <t>(10</t>
    </r>
    <r>
      <rPr>
        <vertAlign val="superscript"/>
        <sz val="10"/>
        <rFont val="Arial"/>
        <family val="2"/>
      </rPr>
      <t>-3</t>
    </r>
    <r>
      <rPr>
        <sz val="10"/>
        <rFont val="Arial"/>
        <family val="2"/>
      </rPr>
      <t xml:space="preserve"> cm)</t>
    </r>
  </si>
  <si>
    <t>Neigungswinkel der Tangente</t>
  </si>
  <si>
    <r>
      <t>a</t>
    </r>
    <r>
      <rPr>
        <vertAlign val="subscript"/>
        <sz val="10"/>
        <rFont val="Arial"/>
        <family val="2"/>
      </rPr>
      <t xml:space="preserve">y </t>
    </r>
    <r>
      <rPr>
        <sz val="10"/>
        <rFont val="Arial"/>
        <family val="2"/>
      </rPr>
      <t>(10</t>
    </r>
    <r>
      <rPr>
        <vertAlign val="superscript"/>
        <sz val="10"/>
        <rFont val="Arial"/>
        <family val="2"/>
      </rPr>
      <t>-3</t>
    </r>
    <r>
      <rPr>
        <sz val="10"/>
        <rFont val="Arial"/>
        <family val="2"/>
      </rPr>
      <t xml:space="preserve"> rad)</t>
    </r>
  </si>
  <si>
    <t>Neigungswinkel des Zapfens im Lager A</t>
  </si>
  <si>
    <r>
      <t>b</t>
    </r>
    <r>
      <rPr>
        <vertAlign val="subscript"/>
        <sz val="10"/>
        <rFont val="Arial"/>
        <family val="2"/>
      </rPr>
      <t xml:space="preserve">LAy </t>
    </r>
    <r>
      <rPr>
        <sz val="10"/>
        <rFont val="Arial"/>
        <family val="2"/>
      </rPr>
      <t>(10</t>
    </r>
    <r>
      <rPr>
        <vertAlign val="superscript"/>
        <sz val="10"/>
        <rFont val="Arial"/>
        <family val="2"/>
      </rPr>
      <t>-3</t>
    </r>
    <r>
      <rPr>
        <sz val="10"/>
        <rFont val="Arial"/>
        <family val="2"/>
      </rPr>
      <t xml:space="preserve"> rad)</t>
    </r>
  </si>
  <si>
    <t>Neigungswinkel des Zapfens im Lager B</t>
  </si>
  <si>
    <r>
      <t>b</t>
    </r>
    <r>
      <rPr>
        <vertAlign val="subscript"/>
        <sz val="10"/>
        <rFont val="Arial"/>
        <family val="2"/>
      </rPr>
      <t xml:space="preserve">LBy </t>
    </r>
    <r>
      <rPr>
        <sz val="10"/>
        <rFont val="Arial"/>
        <family val="2"/>
      </rPr>
      <t>(10</t>
    </r>
    <r>
      <rPr>
        <vertAlign val="superscript"/>
        <sz val="10"/>
        <rFont val="Arial"/>
        <family val="2"/>
      </rPr>
      <t>-3</t>
    </r>
    <r>
      <rPr>
        <sz val="10"/>
        <rFont val="Arial"/>
        <family val="2"/>
      </rPr>
      <t xml:space="preserve"> rad)</t>
    </r>
  </si>
  <si>
    <t>Durchbiegung der Welle in der Y- Ebene</t>
  </si>
  <si>
    <r>
      <t>f</t>
    </r>
    <r>
      <rPr>
        <vertAlign val="subscript"/>
        <sz val="10"/>
        <rFont val="Arial"/>
        <family val="2"/>
      </rPr>
      <t xml:space="preserve">y </t>
    </r>
    <r>
      <rPr>
        <sz val="10"/>
        <rFont val="Arial"/>
        <family val="2"/>
      </rPr>
      <t>(10</t>
    </r>
    <r>
      <rPr>
        <vertAlign val="superscript"/>
        <sz val="10"/>
        <rFont val="Arial"/>
        <family val="2"/>
      </rPr>
      <t>-3</t>
    </r>
    <r>
      <rPr>
        <sz val="10"/>
        <rFont val="Arial"/>
        <family val="2"/>
      </rPr>
      <t xml:space="preserve"> cm)</t>
    </r>
  </si>
  <si>
    <t>Lagerseite A, X- Ebene</t>
  </si>
  <si>
    <r>
      <t>b</t>
    </r>
    <r>
      <rPr>
        <vertAlign val="subscript"/>
        <sz val="10"/>
        <rFont val="Arial"/>
        <family val="2"/>
      </rPr>
      <t xml:space="preserve">AAx </t>
    </r>
    <r>
      <rPr>
        <sz val="10"/>
        <rFont val="Arial"/>
        <family val="2"/>
      </rPr>
      <t>(10</t>
    </r>
    <r>
      <rPr>
        <vertAlign val="superscript"/>
        <sz val="10"/>
        <rFont val="Arial"/>
        <family val="2"/>
      </rPr>
      <t>-3</t>
    </r>
    <r>
      <rPr>
        <sz val="10"/>
        <rFont val="Arial"/>
        <family val="2"/>
      </rPr>
      <t xml:space="preserve"> rad)</t>
    </r>
  </si>
  <si>
    <r>
      <t>f</t>
    </r>
    <r>
      <rPr>
        <vertAlign val="subscript"/>
        <sz val="10"/>
        <rFont val="Arial"/>
        <family val="2"/>
      </rPr>
      <t xml:space="preserve">AAx </t>
    </r>
    <r>
      <rPr>
        <sz val="10"/>
        <rFont val="Arial"/>
        <family val="2"/>
      </rPr>
      <t>(10</t>
    </r>
    <r>
      <rPr>
        <vertAlign val="superscript"/>
        <sz val="10"/>
        <rFont val="Arial"/>
        <family val="2"/>
      </rPr>
      <t>-3</t>
    </r>
    <r>
      <rPr>
        <sz val="10"/>
        <rFont val="Arial"/>
        <family val="2"/>
      </rPr>
      <t xml:space="preserve"> cm)</t>
    </r>
  </si>
  <si>
    <r>
      <t>b</t>
    </r>
    <r>
      <rPr>
        <vertAlign val="subscript"/>
        <sz val="10"/>
        <rFont val="Arial"/>
        <family val="2"/>
      </rPr>
      <t xml:space="preserve">Aix </t>
    </r>
    <r>
      <rPr>
        <sz val="10"/>
        <rFont val="Arial"/>
        <family val="2"/>
      </rPr>
      <t>(10</t>
    </r>
    <r>
      <rPr>
        <vertAlign val="superscript"/>
        <sz val="10"/>
        <rFont val="Arial"/>
        <family val="2"/>
      </rPr>
      <t>-3</t>
    </r>
    <r>
      <rPr>
        <sz val="10"/>
        <rFont val="Arial"/>
        <family val="2"/>
      </rPr>
      <t xml:space="preserve"> rad)</t>
    </r>
    <r>
      <rPr>
        <vertAlign val="subscript"/>
        <sz val="10"/>
        <rFont val="Arial"/>
        <family val="2"/>
      </rPr>
      <t xml:space="preserve">   </t>
    </r>
  </si>
  <si>
    <r>
      <t>f</t>
    </r>
    <r>
      <rPr>
        <vertAlign val="subscript"/>
        <sz val="10"/>
        <rFont val="Arial"/>
        <family val="2"/>
      </rPr>
      <t>Aix</t>
    </r>
    <r>
      <rPr>
        <sz val="10"/>
        <rFont val="Arial"/>
        <family val="2"/>
      </rPr>
      <t xml:space="preserve"> (10</t>
    </r>
    <r>
      <rPr>
        <vertAlign val="superscript"/>
        <sz val="10"/>
        <rFont val="Arial"/>
        <family val="2"/>
      </rPr>
      <t>-3</t>
    </r>
    <r>
      <rPr>
        <sz val="10"/>
        <rFont val="Arial"/>
        <family val="2"/>
      </rPr>
      <t xml:space="preserve"> cm)</t>
    </r>
  </si>
  <si>
    <r>
      <t>b</t>
    </r>
    <r>
      <rPr>
        <vertAlign val="subscript"/>
        <sz val="10"/>
        <rFont val="Arial"/>
        <family val="2"/>
      </rPr>
      <t xml:space="preserve">Aix </t>
    </r>
    <r>
      <rPr>
        <sz val="10"/>
        <rFont val="Arial"/>
        <family val="2"/>
      </rPr>
      <t>(10</t>
    </r>
    <r>
      <rPr>
        <vertAlign val="superscript"/>
        <sz val="10"/>
        <rFont val="Arial"/>
        <family val="2"/>
      </rPr>
      <t>-3</t>
    </r>
    <r>
      <rPr>
        <sz val="10"/>
        <rFont val="Arial"/>
        <family val="2"/>
      </rPr>
      <t xml:space="preserve"> rad)</t>
    </r>
  </si>
  <si>
    <r>
      <t>f</t>
    </r>
    <r>
      <rPr>
        <vertAlign val="subscript"/>
        <sz val="10"/>
        <rFont val="Arial"/>
        <family val="2"/>
      </rPr>
      <t xml:space="preserve">Aix </t>
    </r>
    <r>
      <rPr>
        <sz val="10"/>
        <rFont val="Arial"/>
        <family val="2"/>
      </rPr>
      <t>(10</t>
    </r>
    <r>
      <rPr>
        <vertAlign val="superscript"/>
        <sz val="10"/>
        <rFont val="Arial"/>
        <family val="2"/>
      </rPr>
      <t>-3</t>
    </r>
    <r>
      <rPr>
        <sz val="10"/>
        <rFont val="Arial"/>
        <family val="2"/>
      </rPr>
      <t xml:space="preserve"> cm)</t>
    </r>
  </si>
  <si>
    <r>
      <t>b</t>
    </r>
    <r>
      <rPr>
        <vertAlign val="subscript"/>
        <sz val="10"/>
        <rFont val="Arial"/>
        <family val="2"/>
      </rPr>
      <t>Aix</t>
    </r>
    <r>
      <rPr>
        <sz val="10"/>
        <rFont val="Arial"/>
        <family val="2"/>
      </rPr>
      <t xml:space="preserve"> (10</t>
    </r>
    <r>
      <rPr>
        <vertAlign val="superscript"/>
        <sz val="10"/>
        <rFont val="Arial"/>
        <family val="2"/>
      </rPr>
      <t>-3</t>
    </r>
    <r>
      <rPr>
        <sz val="10"/>
        <rFont val="Arial"/>
        <family val="2"/>
      </rPr>
      <t xml:space="preserve"> rad)</t>
    </r>
  </si>
  <si>
    <r>
      <t>f</t>
    </r>
    <r>
      <rPr>
        <vertAlign val="subscript"/>
        <sz val="10"/>
        <rFont val="Arial"/>
        <family val="2"/>
      </rPr>
      <t>Aix</t>
    </r>
    <r>
      <rPr>
        <vertAlign val="superscript"/>
        <sz val="10"/>
        <rFont val="Arial"/>
        <family val="2"/>
      </rPr>
      <t xml:space="preserve"> </t>
    </r>
    <r>
      <rPr>
        <sz val="10"/>
        <rFont val="Arial"/>
        <family val="2"/>
      </rPr>
      <t>(10</t>
    </r>
    <r>
      <rPr>
        <vertAlign val="superscript"/>
        <sz val="10"/>
        <rFont val="Arial"/>
        <family val="2"/>
      </rPr>
      <t xml:space="preserve">-3 </t>
    </r>
    <r>
      <rPr>
        <sz val="10"/>
        <rFont val="Arial"/>
        <family val="2"/>
      </rPr>
      <t>cm)</t>
    </r>
  </si>
  <si>
    <t>Neigungswinkel der Lagerseite A, X -Ebene</t>
  </si>
  <si>
    <r>
      <t>b</t>
    </r>
    <r>
      <rPr>
        <vertAlign val="subscript"/>
        <sz val="10"/>
        <color indexed="8"/>
        <rFont val="Arial"/>
        <family val="2"/>
      </rPr>
      <t xml:space="preserve">Ax </t>
    </r>
    <r>
      <rPr>
        <sz val="10"/>
        <color indexed="8"/>
        <rFont val="Arial"/>
        <family val="2"/>
      </rPr>
      <t>(10</t>
    </r>
    <r>
      <rPr>
        <vertAlign val="superscript"/>
        <sz val="10"/>
        <color indexed="8"/>
        <rFont val="Arial"/>
        <family val="2"/>
      </rPr>
      <t>-3</t>
    </r>
    <r>
      <rPr>
        <sz val="10"/>
        <color indexed="8"/>
        <rFont val="Arial"/>
        <family val="2"/>
      </rPr>
      <t xml:space="preserve"> rad)</t>
    </r>
  </si>
  <si>
    <t>Durchbiegung der Lagerseite A, X- Ebene</t>
  </si>
  <si>
    <r>
      <t>f</t>
    </r>
    <r>
      <rPr>
        <vertAlign val="subscript"/>
        <sz val="10"/>
        <color indexed="8"/>
        <rFont val="Arial"/>
        <family val="2"/>
      </rPr>
      <t xml:space="preserve">Ax </t>
    </r>
    <r>
      <rPr>
        <sz val="10"/>
        <color indexed="8"/>
        <rFont val="Arial"/>
        <family val="2"/>
      </rPr>
      <t>(10</t>
    </r>
    <r>
      <rPr>
        <vertAlign val="superscript"/>
        <sz val="10"/>
        <color indexed="8"/>
        <rFont val="Arial"/>
        <family val="2"/>
      </rPr>
      <t>-3</t>
    </r>
    <r>
      <rPr>
        <sz val="10"/>
        <color indexed="8"/>
        <rFont val="Arial"/>
        <family val="2"/>
      </rPr>
      <t xml:space="preserve"> cm)</t>
    </r>
  </si>
  <si>
    <t>Lagerseite B, X- Ebene</t>
  </si>
  <si>
    <r>
      <t>b</t>
    </r>
    <r>
      <rPr>
        <vertAlign val="subscript"/>
        <sz val="10"/>
        <rFont val="Arial"/>
        <family val="2"/>
      </rPr>
      <t xml:space="preserve">BBx </t>
    </r>
    <r>
      <rPr>
        <sz val="10"/>
        <rFont val="Arial"/>
        <family val="2"/>
      </rPr>
      <t>(10</t>
    </r>
    <r>
      <rPr>
        <vertAlign val="superscript"/>
        <sz val="10"/>
        <rFont val="Arial"/>
        <family val="2"/>
      </rPr>
      <t>-3</t>
    </r>
    <r>
      <rPr>
        <sz val="10"/>
        <rFont val="Arial"/>
        <family val="2"/>
      </rPr>
      <t xml:space="preserve"> rad)</t>
    </r>
  </si>
  <si>
    <r>
      <t>f</t>
    </r>
    <r>
      <rPr>
        <vertAlign val="subscript"/>
        <sz val="10"/>
        <rFont val="Arial"/>
        <family val="2"/>
      </rPr>
      <t xml:space="preserve">BBx </t>
    </r>
    <r>
      <rPr>
        <sz val="10"/>
        <rFont val="Arial"/>
        <family val="2"/>
      </rPr>
      <t>(10</t>
    </r>
    <r>
      <rPr>
        <vertAlign val="superscript"/>
        <sz val="10"/>
        <rFont val="Arial"/>
        <family val="2"/>
      </rPr>
      <t>-3</t>
    </r>
    <r>
      <rPr>
        <sz val="10"/>
        <rFont val="Arial"/>
        <family val="2"/>
      </rPr>
      <t xml:space="preserve"> cm)</t>
    </r>
  </si>
  <si>
    <r>
      <t>b</t>
    </r>
    <r>
      <rPr>
        <vertAlign val="subscript"/>
        <sz val="10"/>
        <rFont val="Arial"/>
        <family val="2"/>
      </rPr>
      <t xml:space="preserve">Bix </t>
    </r>
    <r>
      <rPr>
        <sz val="10"/>
        <rFont val="Arial"/>
        <family val="2"/>
      </rPr>
      <t>(10</t>
    </r>
    <r>
      <rPr>
        <vertAlign val="superscript"/>
        <sz val="10"/>
        <rFont val="Arial"/>
        <family val="2"/>
      </rPr>
      <t>-3</t>
    </r>
    <r>
      <rPr>
        <sz val="10"/>
        <rFont val="Arial"/>
        <family val="2"/>
      </rPr>
      <t xml:space="preserve"> rad)</t>
    </r>
    <r>
      <rPr>
        <vertAlign val="subscript"/>
        <sz val="10"/>
        <rFont val="Arial"/>
        <family val="2"/>
      </rPr>
      <t xml:space="preserve">   </t>
    </r>
  </si>
  <si>
    <r>
      <t>f</t>
    </r>
    <r>
      <rPr>
        <vertAlign val="subscript"/>
        <sz val="10"/>
        <rFont val="Arial"/>
        <family val="2"/>
      </rPr>
      <t>Bix</t>
    </r>
    <r>
      <rPr>
        <sz val="10"/>
        <rFont val="Arial"/>
        <family val="2"/>
      </rPr>
      <t xml:space="preserve"> (10</t>
    </r>
    <r>
      <rPr>
        <vertAlign val="superscript"/>
        <sz val="10"/>
        <rFont val="Arial"/>
        <family val="2"/>
      </rPr>
      <t>-3</t>
    </r>
    <r>
      <rPr>
        <sz val="10"/>
        <rFont val="Arial"/>
        <family val="2"/>
      </rPr>
      <t xml:space="preserve"> cm)</t>
    </r>
  </si>
  <si>
    <r>
      <t>b</t>
    </r>
    <r>
      <rPr>
        <vertAlign val="subscript"/>
        <sz val="10"/>
        <rFont val="Arial"/>
        <family val="2"/>
      </rPr>
      <t xml:space="preserve">Bix </t>
    </r>
    <r>
      <rPr>
        <sz val="10"/>
        <rFont val="Arial"/>
        <family val="2"/>
      </rPr>
      <t>(10</t>
    </r>
    <r>
      <rPr>
        <vertAlign val="superscript"/>
        <sz val="10"/>
        <rFont val="Arial"/>
        <family val="2"/>
      </rPr>
      <t>-3</t>
    </r>
    <r>
      <rPr>
        <sz val="10"/>
        <rFont val="Arial"/>
        <family val="2"/>
      </rPr>
      <t xml:space="preserve"> rad)</t>
    </r>
  </si>
  <si>
    <r>
      <t>f</t>
    </r>
    <r>
      <rPr>
        <vertAlign val="subscript"/>
        <sz val="10"/>
        <rFont val="Arial"/>
        <family val="2"/>
      </rPr>
      <t xml:space="preserve">Bix </t>
    </r>
    <r>
      <rPr>
        <sz val="10"/>
        <rFont val="Arial"/>
        <family val="2"/>
      </rPr>
      <t>(10</t>
    </r>
    <r>
      <rPr>
        <vertAlign val="superscript"/>
        <sz val="10"/>
        <rFont val="Arial"/>
        <family val="2"/>
      </rPr>
      <t>-3</t>
    </r>
    <r>
      <rPr>
        <sz val="10"/>
        <rFont val="Arial"/>
        <family val="2"/>
      </rPr>
      <t xml:space="preserve"> cm)</t>
    </r>
  </si>
  <si>
    <r>
      <t>b</t>
    </r>
    <r>
      <rPr>
        <vertAlign val="subscript"/>
        <sz val="10"/>
        <rFont val="Arial"/>
        <family val="2"/>
      </rPr>
      <t>Bix</t>
    </r>
    <r>
      <rPr>
        <sz val="10"/>
        <rFont val="Arial"/>
        <family val="2"/>
      </rPr>
      <t xml:space="preserve"> (10</t>
    </r>
    <r>
      <rPr>
        <vertAlign val="superscript"/>
        <sz val="10"/>
        <rFont val="Arial"/>
        <family val="2"/>
      </rPr>
      <t>-3</t>
    </r>
    <r>
      <rPr>
        <sz val="10"/>
        <rFont val="Arial"/>
        <family val="2"/>
      </rPr>
      <t xml:space="preserve"> rad)</t>
    </r>
  </si>
  <si>
    <r>
      <t>f</t>
    </r>
    <r>
      <rPr>
        <vertAlign val="subscript"/>
        <sz val="10"/>
        <rFont val="Arial"/>
        <family val="2"/>
      </rPr>
      <t>Bix</t>
    </r>
    <r>
      <rPr>
        <vertAlign val="superscript"/>
        <sz val="10"/>
        <rFont val="Arial"/>
        <family val="2"/>
      </rPr>
      <t xml:space="preserve"> </t>
    </r>
    <r>
      <rPr>
        <sz val="10"/>
        <rFont val="Arial"/>
        <family val="2"/>
      </rPr>
      <t>(10</t>
    </r>
    <r>
      <rPr>
        <vertAlign val="superscript"/>
        <sz val="10"/>
        <rFont val="Arial"/>
        <family val="2"/>
      </rPr>
      <t xml:space="preserve">-3 </t>
    </r>
    <r>
      <rPr>
        <sz val="10"/>
        <rFont val="Arial"/>
        <family val="2"/>
      </rPr>
      <t>cm)</t>
    </r>
  </si>
  <si>
    <t>Neigungswinkel der Lagerseite B, X -Ebene</t>
  </si>
  <si>
    <r>
      <t>b</t>
    </r>
    <r>
      <rPr>
        <vertAlign val="subscript"/>
        <sz val="10"/>
        <rFont val="Arial"/>
        <family val="2"/>
      </rPr>
      <t xml:space="preserve">Bx </t>
    </r>
    <r>
      <rPr>
        <sz val="10"/>
        <rFont val="Arial"/>
        <family val="2"/>
      </rPr>
      <t>(10</t>
    </r>
    <r>
      <rPr>
        <vertAlign val="superscript"/>
        <sz val="10"/>
        <rFont val="Arial"/>
        <family val="2"/>
      </rPr>
      <t>-3</t>
    </r>
    <r>
      <rPr>
        <sz val="10"/>
        <rFont val="Arial"/>
        <family val="2"/>
      </rPr>
      <t xml:space="preserve"> rad)</t>
    </r>
  </si>
  <si>
    <t>Durchbiegung der Lagerseite B, X- Ebene</t>
  </si>
  <si>
    <r>
      <t>f</t>
    </r>
    <r>
      <rPr>
        <vertAlign val="subscript"/>
        <sz val="10"/>
        <rFont val="Arial"/>
        <family val="2"/>
      </rPr>
      <t xml:space="preserve">Bx </t>
    </r>
    <r>
      <rPr>
        <sz val="10"/>
        <rFont val="Arial"/>
        <family val="2"/>
      </rPr>
      <t>(10</t>
    </r>
    <r>
      <rPr>
        <vertAlign val="superscript"/>
        <sz val="10"/>
        <rFont val="Arial"/>
        <family val="2"/>
      </rPr>
      <t>-3</t>
    </r>
    <r>
      <rPr>
        <sz val="10"/>
        <rFont val="Arial"/>
        <family val="2"/>
      </rPr>
      <t xml:space="preserve"> cm)</t>
    </r>
  </si>
  <si>
    <r>
      <t>a</t>
    </r>
    <r>
      <rPr>
        <vertAlign val="subscript"/>
        <sz val="10"/>
        <rFont val="Arial"/>
        <family val="2"/>
      </rPr>
      <t xml:space="preserve">x </t>
    </r>
    <r>
      <rPr>
        <sz val="10"/>
        <rFont val="Arial"/>
        <family val="2"/>
      </rPr>
      <t>(10</t>
    </r>
    <r>
      <rPr>
        <vertAlign val="superscript"/>
        <sz val="10"/>
        <rFont val="Arial"/>
        <family val="2"/>
      </rPr>
      <t>-3</t>
    </r>
    <r>
      <rPr>
        <sz val="10"/>
        <rFont val="Arial"/>
        <family val="2"/>
      </rPr>
      <t xml:space="preserve"> rad)</t>
    </r>
  </si>
  <si>
    <r>
      <t>b</t>
    </r>
    <r>
      <rPr>
        <vertAlign val="subscript"/>
        <sz val="10"/>
        <rFont val="Arial"/>
        <family val="2"/>
      </rPr>
      <t xml:space="preserve">LAx </t>
    </r>
    <r>
      <rPr>
        <sz val="10"/>
        <rFont val="Arial"/>
        <family val="2"/>
      </rPr>
      <t>(10</t>
    </r>
    <r>
      <rPr>
        <vertAlign val="superscript"/>
        <sz val="10"/>
        <rFont val="Arial"/>
        <family val="2"/>
      </rPr>
      <t>-3</t>
    </r>
    <r>
      <rPr>
        <sz val="10"/>
        <rFont val="Arial"/>
        <family val="2"/>
      </rPr>
      <t xml:space="preserve"> rad)</t>
    </r>
  </si>
  <si>
    <r>
      <t>b</t>
    </r>
    <r>
      <rPr>
        <vertAlign val="subscript"/>
        <sz val="10"/>
        <rFont val="Arial"/>
        <family val="2"/>
      </rPr>
      <t xml:space="preserve">LBx </t>
    </r>
    <r>
      <rPr>
        <sz val="10"/>
        <rFont val="Arial"/>
        <family val="2"/>
      </rPr>
      <t>(10</t>
    </r>
    <r>
      <rPr>
        <vertAlign val="superscript"/>
        <sz val="10"/>
        <rFont val="Arial"/>
        <family val="2"/>
      </rPr>
      <t>-3</t>
    </r>
    <r>
      <rPr>
        <sz val="10"/>
        <rFont val="Arial"/>
        <family val="2"/>
      </rPr>
      <t xml:space="preserve"> rad)</t>
    </r>
  </si>
  <si>
    <r>
      <t>f</t>
    </r>
    <r>
      <rPr>
        <vertAlign val="subscript"/>
        <sz val="10"/>
        <rFont val="Arial"/>
        <family val="2"/>
      </rPr>
      <t xml:space="preserve">x </t>
    </r>
    <r>
      <rPr>
        <sz val="10"/>
        <rFont val="Arial"/>
        <family val="2"/>
      </rPr>
      <t>(10</t>
    </r>
    <r>
      <rPr>
        <vertAlign val="superscript"/>
        <sz val="10"/>
        <rFont val="Arial"/>
        <family val="2"/>
      </rPr>
      <t>-3</t>
    </r>
    <r>
      <rPr>
        <sz val="10"/>
        <rFont val="Arial"/>
        <family val="2"/>
      </rPr>
      <t xml:space="preserve"> cm)</t>
    </r>
  </si>
  <si>
    <t>Gesamtneigungswinkel im Lager A</t>
  </si>
  <si>
    <r>
      <t>b</t>
    </r>
    <r>
      <rPr>
        <vertAlign val="subscript"/>
        <sz val="10"/>
        <rFont val="Arial"/>
        <family val="2"/>
      </rPr>
      <t xml:space="preserve">LA </t>
    </r>
    <r>
      <rPr>
        <sz val="10"/>
        <rFont val="Arial"/>
        <family val="2"/>
      </rPr>
      <t>(10</t>
    </r>
    <r>
      <rPr>
        <vertAlign val="superscript"/>
        <sz val="10"/>
        <rFont val="Arial"/>
        <family val="2"/>
      </rPr>
      <t>-3</t>
    </r>
    <r>
      <rPr>
        <sz val="10"/>
        <rFont val="Arial"/>
        <family val="2"/>
      </rPr>
      <t xml:space="preserve"> rad)</t>
    </r>
  </si>
  <si>
    <t>Gesamtneigungswinkel im Lager B</t>
  </si>
  <si>
    <r>
      <t>b</t>
    </r>
    <r>
      <rPr>
        <vertAlign val="subscript"/>
        <sz val="10"/>
        <rFont val="Arial"/>
        <family val="2"/>
      </rPr>
      <t xml:space="preserve">LB </t>
    </r>
    <r>
      <rPr>
        <sz val="10"/>
        <rFont val="Arial"/>
        <family val="2"/>
      </rPr>
      <t>(10</t>
    </r>
    <r>
      <rPr>
        <vertAlign val="superscript"/>
        <sz val="10"/>
        <rFont val="Arial"/>
        <family val="2"/>
      </rPr>
      <t>-3</t>
    </r>
    <r>
      <rPr>
        <sz val="10"/>
        <rFont val="Arial"/>
        <family val="2"/>
      </rPr>
      <t xml:space="preserve"> rad)</t>
    </r>
  </si>
  <si>
    <t xml:space="preserve">Gesamtdurchbiegung </t>
  </si>
  <si>
    <r>
      <t>f</t>
    </r>
    <r>
      <rPr>
        <vertAlign val="subscript"/>
        <sz val="10"/>
        <rFont val="Arial"/>
        <family val="2"/>
      </rPr>
      <t xml:space="preserve"> </t>
    </r>
    <r>
      <rPr>
        <sz val="10"/>
        <rFont val="Arial"/>
        <family val="2"/>
      </rPr>
      <t>(10</t>
    </r>
    <r>
      <rPr>
        <vertAlign val="superscript"/>
        <sz val="10"/>
        <rFont val="Arial"/>
        <family val="2"/>
      </rPr>
      <t>-3</t>
    </r>
    <r>
      <rPr>
        <sz val="10"/>
        <rFont val="Arial"/>
        <family val="2"/>
      </rPr>
      <t xml:space="preserve"> cm)</t>
    </r>
  </si>
  <si>
    <r>
      <t>f (</t>
    </r>
    <r>
      <rPr>
        <sz val="10"/>
        <rFont val="Symbol"/>
        <family val="1"/>
        <charset val="2"/>
      </rPr>
      <t>m</t>
    </r>
    <r>
      <rPr>
        <sz val="10"/>
        <rFont val="Arial"/>
        <family val="2"/>
      </rPr>
      <t>m)</t>
    </r>
  </si>
  <si>
    <t>Belastungsfall 1, Lagerseite A, Y- Ebene</t>
  </si>
  <si>
    <t>Längenmaße</t>
  </si>
  <si>
    <r>
      <t>l</t>
    </r>
    <r>
      <rPr>
        <vertAlign val="subscript"/>
        <sz val="10"/>
        <rFont val="Arial"/>
        <family val="2"/>
      </rPr>
      <t>1</t>
    </r>
    <r>
      <rPr>
        <sz val="10"/>
        <rFont val="Arial"/>
        <family val="2"/>
      </rPr>
      <t xml:space="preserve"> (mm)</t>
    </r>
  </si>
  <si>
    <r>
      <t>l</t>
    </r>
    <r>
      <rPr>
        <vertAlign val="subscript"/>
        <sz val="10"/>
        <rFont val="Arial"/>
        <family val="2"/>
      </rPr>
      <t>2</t>
    </r>
    <r>
      <rPr>
        <sz val="10"/>
        <rFont val="Arial"/>
        <family val="2"/>
      </rPr>
      <t xml:space="preserve"> </t>
    </r>
    <r>
      <rPr>
        <sz val="10"/>
        <rFont val="Arial"/>
        <family val="2"/>
      </rPr>
      <t>(mm)</t>
    </r>
  </si>
  <si>
    <r>
      <t>l</t>
    </r>
    <r>
      <rPr>
        <vertAlign val="subscript"/>
        <sz val="10"/>
        <rFont val="Arial"/>
        <family val="2"/>
      </rPr>
      <t>3</t>
    </r>
    <r>
      <rPr>
        <sz val="10"/>
        <rFont val="Arial"/>
        <family val="2"/>
      </rPr>
      <t>=l</t>
    </r>
    <r>
      <rPr>
        <vertAlign val="subscript"/>
        <sz val="10"/>
        <rFont val="Arial"/>
        <family val="2"/>
      </rPr>
      <t>A</t>
    </r>
    <r>
      <rPr>
        <sz val="10"/>
        <rFont val="Arial"/>
        <family val="2"/>
      </rPr>
      <t xml:space="preserve"> (mm)</t>
    </r>
  </si>
  <si>
    <t>Durchmesser</t>
  </si>
  <si>
    <r>
      <t>d</t>
    </r>
    <r>
      <rPr>
        <vertAlign val="subscript"/>
        <sz val="10"/>
        <rFont val="Arial"/>
        <family val="2"/>
      </rPr>
      <t>1</t>
    </r>
    <r>
      <rPr>
        <sz val="10"/>
        <rFont val="Arial"/>
        <family val="2"/>
      </rPr>
      <t xml:space="preserve"> (mm)</t>
    </r>
  </si>
  <si>
    <r>
      <t>d</t>
    </r>
    <r>
      <rPr>
        <vertAlign val="subscript"/>
        <sz val="10"/>
        <rFont val="Arial"/>
        <family val="2"/>
      </rPr>
      <t>2</t>
    </r>
    <r>
      <rPr>
        <sz val="10"/>
        <rFont val="Arial"/>
        <family val="2"/>
      </rPr>
      <t xml:space="preserve"> (mm)</t>
    </r>
  </si>
  <si>
    <r>
      <t>d</t>
    </r>
    <r>
      <rPr>
        <vertAlign val="subscript"/>
        <sz val="10"/>
        <rFont val="Arial"/>
        <family val="2"/>
      </rPr>
      <t>3</t>
    </r>
    <r>
      <rPr>
        <sz val="10"/>
        <rFont val="Arial"/>
        <family val="2"/>
      </rPr>
      <t xml:space="preserve"> (mm)</t>
    </r>
  </si>
  <si>
    <t>Kraft</t>
  </si>
  <si>
    <r>
      <t>F</t>
    </r>
    <r>
      <rPr>
        <vertAlign val="subscript"/>
        <sz val="10"/>
        <rFont val="Arial"/>
        <family val="2"/>
      </rPr>
      <t>A</t>
    </r>
    <r>
      <rPr>
        <sz val="10"/>
        <rFont val="Arial"/>
        <family val="2"/>
      </rPr>
      <t xml:space="preserve"> (kN)</t>
    </r>
  </si>
  <si>
    <t>Tritt ein weiterer Fall auf der Lagerseite A, Y- Ebene auf?</t>
  </si>
  <si>
    <t>Belastungsfall 2, Lagerseite A, Y- Ebene</t>
  </si>
  <si>
    <r>
      <t>l</t>
    </r>
    <r>
      <rPr>
        <vertAlign val="subscript"/>
        <sz val="10"/>
        <rFont val="Arial"/>
        <family val="2"/>
      </rPr>
      <t>3</t>
    </r>
    <r>
      <rPr>
        <sz val="10"/>
        <rFont val="Arial"/>
        <family val="2"/>
      </rPr>
      <t xml:space="preserve"> (mm)</t>
    </r>
  </si>
  <si>
    <r>
      <t>l</t>
    </r>
    <r>
      <rPr>
        <vertAlign val="subscript"/>
        <sz val="10"/>
        <rFont val="Arial"/>
        <family val="2"/>
      </rPr>
      <t>i</t>
    </r>
    <r>
      <rPr>
        <sz val="10"/>
        <rFont val="Arial"/>
        <family val="2"/>
      </rPr>
      <t xml:space="preserve"> (mm)</t>
    </r>
  </si>
  <si>
    <r>
      <t>l</t>
    </r>
    <r>
      <rPr>
        <vertAlign val="subscript"/>
        <sz val="10"/>
        <rFont val="Arial"/>
        <family val="2"/>
      </rPr>
      <t>A</t>
    </r>
    <r>
      <rPr>
        <sz val="10"/>
        <rFont val="Arial"/>
        <family val="2"/>
      </rPr>
      <t xml:space="preserve"> (mm)</t>
    </r>
  </si>
  <si>
    <r>
      <t>F</t>
    </r>
    <r>
      <rPr>
        <vertAlign val="subscript"/>
        <sz val="10"/>
        <rFont val="Arial"/>
        <family val="2"/>
      </rPr>
      <t>i</t>
    </r>
    <r>
      <rPr>
        <sz val="10"/>
        <rFont val="Arial"/>
        <family val="2"/>
      </rPr>
      <t xml:space="preserve"> (kN)</t>
    </r>
  </si>
  <si>
    <t>Belastungsfall 3, Lagerseite A, Y- Ebene</t>
  </si>
  <si>
    <t>Belastungsfall 4, Lagerseite A, Y- Ebene</t>
  </si>
  <si>
    <t>Radius</t>
  </si>
  <si>
    <t>r (mm)</t>
  </si>
  <si>
    <t>Belastungsfall 5, Lagerseite A, Y- Ebene</t>
  </si>
  <si>
    <t>Belastungsfall 1, Lagerseite B, Y- Ebene</t>
  </si>
  <si>
    <r>
      <t>l</t>
    </r>
    <r>
      <rPr>
        <vertAlign val="subscript"/>
        <sz val="10"/>
        <rFont val="Arial"/>
        <family val="2"/>
      </rPr>
      <t>3</t>
    </r>
    <r>
      <rPr>
        <sz val="10"/>
        <rFont val="Arial"/>
        <family val="2"/>
      </rPr>
      <t>=l</t>
    </r>
    <r>
      <rPr>
        <vertAlign val="subscript"/>
        <sz val="10"/>
        <rFont val="Arial"/>
        <family val="2"/>
      </rPr>
      <t>B</t>
    </r>
    <r>
      <rPr>
        <sz val="10"/>
        <rFont val="Arial"/>
        <family val="2"/>
      </rPr>
      <t xml:space="preserve"> (mm)</t>
    </r>
  </si>
  <si>
    <r>
      <t>F</t>
    </r>
    <r>
      <rPr>
        <vertAlign val="subscript"/>
        <sz val="10"/>
        <rFont val="Arial"/>
        <family val="2"/>
      </rPr>
      <t>B</t>
    </r>
    <r>
      <rPr>
        <sz val="10"/>
        <rFont val="Arial"/>
        <family val="2"/>
      </rPr>
      <t xml:space="preserve"> (kN)</t>
    </r>
  </si>
  <si>
    <t>Tritt ein weiterer Fall auf der Lagerseite B, Y- Ebene auf?</t>
  </si>
  <si>
    <t>Belastungsfall 2, Lagerseite B, Y- Ebene</t>
  </si>
  <si>
    <r>
      <t>l</t>
    </r>
    <r>
      <rPr>
        <vertAlign val="subscript"/>
        <sz val="10"/>
        <rFont val="Arial"/>
        <family val="2"/>
      </rPr>
      <t>B</t>
    </r>
    <r>
      <rPr>
        <sz val="10"/>
        <rFont val="Arial"/>
        <family val="2"/>
      </rPr>
      <t xml:space="preserve"> (mm)</t>
    </r>
  </si>
  <si>
    <t>Belastungsfall 3, Lagerseite B, Y- Ebene</t>
  </si>
  <si>
    <t>Belastungsfall 4, Lagerseite B, Y- Ebene</t>
  </si>
  <si>
    <r>
      <t>l</t>
    </r>
    <r>
      <rPr>
        <vertAlign val="subscript"/>
        <sz val="10"/>
        <rFont val="Arial"/>
        <family val="2"/>
      </rPr>
      <t>2</t>
    </r>
    <r>
      <rPr>
        <sz val="10"/>
        <rFont val="Arial"/>
        <family val="2"/>
      </rPr>
      <t xml:space="preserve"> (mm)</t>
    </r>
  </si>
  <si>
    <r>
      <t>l</t>
    </r>
    <r>
      <rPr>
        <vertAlign val="subscript"/>
        <sz val="10"/>
        <rFont val="Arial"/>
        <family val="2"/>
      </rPr>
      <t>3</t>
    </r>
    <r>
      <rPr>
        <sz val="10"/>
        <rFont val="Arial"/>
        <family val="2"/>
      </rPr>
      <t xml:space="preserve"> </t>
    </r>
    <r>
      <rPr>
        <sz val="10"/>
        <rFont val="Arial"/>
        <family val="2"/>
      </rPr>
      <t>(mm)</t>
    </r>
  </si>
  <si>
    <t>Belastungsfall 5, Lagerseite B, Y- Ebene</t>
  </si>
  <si>
    <r>
      <t>l</t>
    </r>
    <r>
      <rPr>
        <vertAlign val="subscript"/>
        <sz val="10"/>
        <rFont val="Arial"/>
        <family val="2"/>
      </rPr>
      <t>i</t>
    </r>
    <r>
      <rPr>
        <sz val="10"/>
        <rFont val="Arial"/>
        <family val="2"/>
      </rPr>
      <t xml:space="preserve"> </t>
    </r>
    <r>
      <rPr>
        <sz val="10"/>
        <rFont val="Arial"/>
        <family val="2"/>
      </rPr>
      <t>(mm)</t>
    </r>
  </si>
  <si>
    <r>
      <t>l</t>
    </r>
    <r>
      <rPr>
        <vertAlign val="subscript"/>
        <sz val="10"/>
        <rFont val="Arial"/>
        <family val="2"/>
      </rPr>
      <t>B</t>
    </r>
    <r>
      <rPr>
        <sz val="10"/>
        <rFont val="Arial"/>
        <family val="2"/>
      </rPr>
      <t xml:space="preserve"> </t>
    </r>
    <r>
      <rPr>
        <sz val="10"/>
        <rFont val="Arial"/>
        <family val="2"/>
      </rPr>
      <t>(mm)</t>
    </r>
  </si>
  <si>
    <t>Fi (kN)</t>
  </si>
  <si>
    <t>Belastungsfall 1, Lagerseite A, X- Ebene</t>
  </si>
  <si>
    <t>Tritt ein weiterer Fall auf der Lagerseite A, X- Ebene auf?</t>
  </si>
  <si>
    <t>Belastungsfall 2, Lagerseite A, X- Ebene</t>
  </si>
  <si>
    <t>Belastungsfall 3, Lagerseite A, X- Ebene</t>
  </si>
  <si>
    <t>Belastungsfall 4, Lagerseite A, X- Ebene</t>
  </si>
  <si>
    <t>Belastungsfall 5, Lagerseite A, X- Ebene</t>
  </si>
  <si>
    <t>Belastungsfall 1, Lagerseite B, X- Ebene</t>
  </si>
  <si>
    <t>Tritt ein weiterer Fall auf der Lagerseite B, X- Ebene auf?</t>
  </si>
  <si>
    <t>Belastungsfall 2, Lagerseite B, X- Ebene</t>
  </si>
  <si>
    <t>Belastungsfall 3, Lagerseite B, X- Ebene</t>
  </si>
  <si>
    <t>Belastungsfall 4, Lagerseite B, X- Ebene</t>
  </si>
  <si>
    <t>Belastungsfall 5, Lagerseite B, X- Ebene</t>
  </si>
  <si>
    <t xml:space="preserve">             INFO</t>
  </si>
  <si>
    <r>
      <t xml:space="preserve">Bitte betätigen Sie die </t>
    </r>
    <r>
      <rPr>
        <b/>
        <i/>
        <sz val="10"/>
        <color indexed="17"/>
        <rFont val="Arial"/>
        <family val="2"/>
      </rPr>
      <t>Start</t>
    </r>
    <r>
      <rPr>
        <i/>
        <sz val="10"/>
        <rFont val="Arial"/>
        <family val="2"/>
      </rPr>
      <t>-</t>
    </r>
    <r>
      <rPr>
        <sz val="10"/>
        <rFont val="Arial"/>
        <family val="2"/>
      </rPr>
      <t xml:space="preserve">Taste, um vorherige </t>
    </r>
  </si>
  <si>
    <t>Durchbiegung der Welle in der X- Ebene</t>
  </si>
  <si>
    <t>Wichtiger Hinweis:</t>
  </si>
  <si>
    <t>X-Ebene:</t>
  </si>
  <si>
    <t>Y-Ebene:</t>
  </si>
  <si>
    <t>Decker, Maschinenelemente, 20. Auflage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</si>
</sst>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
    <numFmt numFmtId="165" formatCode="0.000"/>
    <numFmt numFmtId="166" formatCode="0.0"/>
  </numFmts>
  <fonts count="29" x14ac:knownFonts="1">
    <font>
      <sz val="10"/>
      <name val="Arial"/>
    </font>
    <font>
      <b/>
      <sz val="10"/>
      <name val="Arial"/>
      <family val="2"/>
    </font>
    <font>
      <i/>
      <sz val="10"/>
      <name val="Arial"/>
      <family val="2"/>
    </font>
    <font>
      <b/>
      <i/>
      <sz val="10"/>
      <name val="Arial"/>
      <family val="2"/>
    </font>
    <font>
      <sz val="10"/>
      <name val="Arial"/>
      <family val="2"/>
    </font>
    <font>
      <vertAlign val="subscript"/>
      <sz val="10"/>
      <name val="Arial"/>
      <family val="2"/>
    </font>
    <font>
      <sz val="10"/>
      <name val="Arial"/>
      <family val="2"/>
    </font>
    <font>
      <vertAlign val="superscript"/>
      <sz val="10"/>
      <name val="Arial"/>
      <family val="2"/>
    </font>
    <font>
      <sz val="10"/>
      <name val="Symbol"/>
      <family val="1"/>
      <charset val="2"/>
    </font>
    <font>
      <u/>
      <sz val="10"/>
      <name val="Arial"/>
      <family val="2"/>
    </font>
    <font>
      <b/>
      <sz val="10"/>
      <color indexed="10"/>
      <name val="Arial"/>
      <family val="2"/>
    </font>
    <font>
      <sz val="10"/>
      <color indexed="12"/>
      <name val="Arial"/>
      <family val="2"/>
    </font>
    <font>
      <b/>
      <sz val="10"/>
      <color indexed="12"/>
      <name val="Arial"/>
      <family val="2"/>
    </font>
    <font>
      <sz val="10"/>
      <color indexed="8"/>
      <name val="Symbol"/>
      <family val="1"/>
      <charset val="2"/>
    </font>
    <font>
      <vertAlign val="subscript"/>
      <sz val="10"/>
      <color indexed="8"/>
      <name val="Arial"/>
      <family val="2"/>
    </font>
    <font>
      <sz val="10"/>
      <color indexed="8"/>
      <name val="Arial"/>
      <family val="2"/>
    </font>
    <font>
      <vertAlign val="superscript"/>
      <sz val="10"/>
      <color indexed="8"/>
      <name val="Arial"/>
      <family val="2"/>
    </font>
    <font>
      <sz val="10"/>
      <color indexed="8"/>
      <name val="Arial"/>
      <family val="2"/>
    </font>
    <font>
      <sz val="8"/>
      <color indexed="81"/>
      <name val="Tahoma"/>
      <family val="2"/>
    </font>
    <font>
      <vertAlign val="superscript"/>
      <sz val="8"/>
      <color indexed="81"/>
      <name val="Tahoma"/>
      <family val="2"/>
    </font>
    <font>
      <b/>
      <i/>
      <sz val="10"/>
      <color indexed="17"/>
      <name val="Arial"/>
      <family val="2"/>
    </font>
    <font>
      <sz val="8"/>
      <color indexed="81"/>
      <name val="Symbol"/>
      <family val="1"/>
      <charset val="2"/>
    </font>
    <font>
      <vertAlign val="subscript"/>
      <sz val="8"/>
      <color indexed="81"/>
      <name val="Tahoma"/>
      <family val="2"/>
    </font>
    <font>
      <sz val="10"/>
      <color indexed="17"/>
      <name val="Arial"/>
      <family val="2"/>
    </font>
    <font>
      <b/>
      <sz val="8"/>
      <color indexed="81"/>
      <name val="Tahoma"/>
      <family val="2"/>
    </font>
    <font>
      <b/>
      <sz val="10"/>
      <color rgb="FFFF0000"/>
      <name val="Arial"/>
      <family val="2"/>
    </font>
    <font>
      <b/>
      <sz val="10"/>
      <color rgb="FF0000FF"/>
      <name val="Arial"/>
      <family val="2"/>
    </font>
    <font>
      <b/>
      <sz val="10"/>
      <color rgb="FF008000"/>
      <name val="Arial"/>
      <family val="2"/>
    </font>
    <font>
      <b/>
      <sz val="10"/>
      <color rgb="FF000000"/>
      <name val="Arial"/>
      <family val="2"/>
    </font>
  </fonts>
  <fills count="5">
    <fill>
      <patternFill patternType="none"/>
    </fill>
    <fill>
      <patternFill patternType="gray125"/>
    </fill>
    <fill>
      <patternFill patternType="solid">
        <fgColor indexed="41"/>
        <bgColor indexed="64"/>
      </patternFill>
    </fill>
    <fill>
      <patternFill patternType="solid">
        <fgColor indexed="26"/>
        <bgColor indexed="64"/>
      </patternFill>
    </fill>
    <fill>
      <patternFill patternType="solid">
        <fgColor indexed="9"/>
        <bgColor indexed="64"/>
      </patternFill>
    </fill>
  </fills>
  <borders count="14">
    <border>
      <left/>
      <right/>
      <top/>
      <bottom/>
      <diagonal/>
    </border>
    <border>
      <left style="medium">
        <color indexed="32"/>
      </left>
      <right style="medium">
        <color indexed="32"/>
      </right>
      <top style="medium">
        <color indexed="32"/>
      </top>
      <bottom/>
      <diagonal/>
    </border>
    <border>
      <left style="medium">
        <color indexed="32"/>
      </left>
      <right style="medium">
        <color indexed="32"/>
      </right>
      <top/>
      <bottom/>
      <diagonal/>
    </border>
    <border>
      <left/>
      <right style="medium">
        <color indexed="64"/>
      </right>
      <top style="medium">
        <color indexed="64"/>
      </top>
      <bottom/>
      <diagonal/>
    </border>
    <border>
      <left/>
      <right/>
      <top style="medium">
        <color indexed="64"/>
      </top>
      <bottom/>
      <diagonal/>
    </border>
    <border>
      <left/>
      <right style="medium">
        <color indexed="64"/>
      </right>
      <top/>
      <bottom/>
      <diagonal/>
    </border>
    <border>
      <left style="medium">
        <color indexed="64"/>
      </left>
      <right/>
      <top/>
      <bottom/>
      <diagonal/>
    </border>
    <border>
      <left/>
      <right/>
      <top/>
      <bottom style="medium">
        <color indexed="18"/>
      </bottom>
      <diagonal/>
    </border>
    <border>
      <left/>
      <right/>
      <top style="medium">
        <color indexed="32"/>
      </top>
      <bottom style="medium">
        <color indexed="32"/>
      </bottom>
      <diagonal/>
    </border>
    <border>
      <left style="medium">
        <color indexed="32"/>
      </left>
      <right style="medium">
        <color indexed="32"/>
      </right>
      <top/>
      <bottom style="medium">
        <color indexed="32"/>
      </bottom>
      <diagonal/>
    </border>
    <border>
      <left style="medium">
        <color indexed="32"/>
      </left>
      <right style="medium">
        <color indexed="32"/>
      </right>
      <top style="medium">
        <color indexed="32"/>
      </top>
      <bottom style="medium">
        <color indexed="32"/>
      </bottom>
      <diagonal/>
    </border>
    <border>
      <left style="medium">
        <color indexed="18"/>
      </left>
      <right style="medium">
        <color indexed="18"/>
      </right>
      <top style="medium">
        <color indexed="18"/>
      </top>
      <bottom/>
      <diagonal/>
    </border>
    <border>
      <left style="medium">
        <color indexed="18"/>
      </left>
      <right style="medium">
        <color indexed="18"/>
      </right>
      <top/>
      <bottom style="medium">
        <color indexed="18"/>
      </bottom>
      <diagonal/>
    </border>
    <border>
      <left style="medium">
        <color indexed="18"/>
      </left>
      <right style="medium">
        <color indexed="18"/>
      </right>
      <top/>
      <bottom/>
      <diagonal/>
    </border>
  </borders>
  <cellStyleXfs count="1">
    <xf numFmtId="0" fontId="0" fillId="0" borderId="0"/>
  </cellStyleXfs>
  <cellXfs count="68">
    <xf numFmtId="0" fontId="0" fillId="0" borderId="0" xfId="0"/>
    <xf numFmtId="0" fontId="0" fillId="0" borderId="0" xfId="0" applyProtection="1"/>
    <xf numFmtId="0" fontId="0" fillId="0" borderId="0" xfId="0" applyBorder="1" applyProtection="1"/>
    <xf numFmtId="0" fontId="0" fillId="0" borderId="0" xfId="0" applyFill="1" applyProtection="1"/>
    <xf numFmtId="0" fontId="0" fillId="0" borderId="0" xfId="0" applyFill="1" applyAlignment="1" applyProtection="1">
      <alignment horizontal="center"/>
    </xf>
    <xf numFmtId="0" fontId="0" fillId="0" borderId="0" xfId="0" applyAlignment="1">
      <alignment horizontal="center"/>
    </xf>
    <xf numFmtId="0" fontId="0" fillId="2" borderId="1" xfId="0" applyFill="1" applyBorder="1" applyAlignment="1" applyProtection="1">
      <alignment horizontal="center"/>
      <protection locked="0"/>
    </xf>
    <xf numFmtId="0" fontId="0" fillId="2" borderId="2" xfId="0" applyFill="1" applyBorder="1" applyAlignment="1" applyProtection="1">
      <alignment horizontal="center"/>
      <protection locked="0"/>
    </xf>
    <xf numFmtId="0" fontId="0" fillId="0" borderId="0" xfId="0" applyBorder="1"/>
    <xf numFmtId="164" fontId="0" fillId="3" borderId="0" xfId="0" applyNumberFormat="1" applyFill="1" applyAlignment="1" applyProtection="1">
      <alignment horizontal="center"/>
    </xf>
    <xf numFmtId="164" fontId="9" fillId="3" borderId="0" xfId="0" applyNumberFormat="1" applyFont="1" applyFill="1" applyAlignment="1" applyProtection="1">
      <alignment horizontal="center"/>
    </xf>
    <xf numFmtId="2" fontId="9" fillId="3" borderId="0" xfId="0" applyNumberFormat="1" applyFont="1" applyFill="1" applyAlignment="1" applyProtection="1">
      <alignment horizontal="center"/>
    </xf>
    <xf numFmtId="166" fontId="9" fillId="3" borderId="0" xfId="0" applyNumberFormat="1" applyFont="1" applyFill="1" applyAlignment="1" applyProtection="1">
      <alignment horizontal="center"/>
    </xf>
    <xf numFmtId="0" fontId="0" fillId="4" borderId="0" xfId="0" applyFill="1" applyProtection="1"/>
    <xf numFmtId="0" fontId="0" fillId="4" borderId="0" xfId="0" applyFill="1" applyAlignment="1" applyProtection="1">
      <alignment horizontal="center"/>
    </xf>
    <xf numFmtId="14" fontId="0" fillId="4" borderId="0" xfId="0" applyNumberFormat="1" applyFill="1" applyAlignment="1" applyProtection="1">
      <alignment horizontal="center"/>
    </xf>
    <xf numFmtId="0" fontId="0" fillId="4" borderId="3" xfId="0" applyFill="1" applyBorder="1" applyAlignment="1" applyProtection="1">
      <alignment vertical="center"/>
    </xf>
    <xf numFmtId="0" fontId="0" fillId="4" borderId="4" xfId="0" applyFill="1" applyBorder="1" applyAlignment="1" applyProtection="1">
      <alignment horizontal="left"/>
    </xf>
    <xf numFmtId="0" fontId="0" fillId="4" borderId="5" xfId="0" applyFill="1" applyBorder="1" applyAlignment="1" applyProtection="1">
      <alignment vertical="center"/>
    </xf>
    <xf numFmtId="0" fontId="4" fillId="4" borderId="6" xfId="0" applyFont="1" applyFill="1" applyBorder="1" applyAlignment="1" applyProtection="1">
      <alignment vertical="center"/>
    </xf>
    <xf numFmtId="0" fontId="0" fillId="4" borderId="0" xfId="0" applyFill="1" applyBorder="1" applyAlignment="1" applyProtection="1">
      <alignment horizontal="left"/>
    </xf>
    <xf numFmtId="0" fontId="0" fillId="4" borderId="0" xfId="0" applyFill="1" applyAlignment="1" applyProtection="1">
      <alignment vertical="center"/>
    </xf>
    <xf numFmtId="0" fontId="0" fillId="4" borderId="0" xfId="0" applyFill="1" applyAlignment="1" applyProtection="1">
      <alignment horizontal="left"/>
    </xf>
    <xf numFmtId="0" fontId="0" fillId="4" borderId="3" xfId="0" applyFill="1" applyBorder="1" applyProtection="1"/>
    <xf numFmtId="0" fontId="0" fillId="4" borderId="4" xfId="0" applyFill="1" applyBorder="1" applyProtection="1"/>
    <xf numFmtId="0" fontId="0" fillId="4" borderId="4" xfId="0" applyFill="1" applyBorder="1" applyAlignment="1" applyProtection="1">
      <alignment horizontal="center"/>
    </xf>
    <xf numFmtId="0" fontId="0" fillId="4" borderId="5" xfId="0" applyFill="1" applyBorder="1" applyProtection="1"/>
    <xf numFmtId="0" fontId="8" fillId="4" borderId="0" xfId="0" applyFont="1" applyFill="1" applyAlignment="1" applyProtection="1">
      <alignment horizontal="center"/>
    </xf>
    <xf numFmtId="0" fontId="6" fillId="4" borderId="0" xfId="0" applyFont="1" applyFill="1" applyAlignment="1" applyProtection="1">
      <alignment horizontal="center"/>
    </xf>
    <xf numFmtId="0" fontId="0" fillId="4" borderId="5" xfId="0" applyFill="1" applyBorder="1"/>
    <xf numFmtId="0" fontId="0" fillId="4" borderId="0" xfId="0" applyFill="1"/>
    <xf numFmtId="0" fontId="0" fillId="4" borderId="0" xfId="0" applyFill="1" applyBorder="1" applyAlignment="1" applyProtection="1">
      <alignment horizontal="center"/>
    </xf>
    <xf numFmtId="0" fontId="10" fillId="4" borderId="0" xfId="0" applyFont="1" applyFill="1" applyProtection="1"/>
    <xf numFmtId="0" fontId="3" fillId="4" borderId="0" xfId="0" applyFont="1" applyFill="1" applyAlignment="1" applyProtection="1">
      <alignment horizontal="right"/>
    </xf>
    <xf numFmtId="2" fontId="0" fillId="4" borderId="0" xfId="0" applyNumberFormat="1" applyFill="1" applyAlignment="1" applyProtection="1">
      <alignment horizontal="center"/>
    </xf>
    <xf numFmtId="165" fontId="0" fillId="4" borderId="0" xfId="0" applyNumberFormat="1" applyFill="1" applyAlignment="1" applyProtection="1">
      <alignment horizontal="center"/>
    </xf>
    <xf numFmtId="165" fontId="9" fillId="4" borderId="0" xfId="0" applyNumberFormat="1" applyFont="1" applyFill="1" applyAlignment="1" applyProtection="1">
      <alignment horizontal="center"/>
    </xf>
    <xf numFmtId="0" fontId="1" fillId="4" borderId="0" xfId="0" applyFont="1" applyFill="1" applyProtection="1"/>
    <xf numFmtId="0" fontId="12" fillId="4" borderId="0" xfId="0" applyFont="1" applyFill="1" applyProtection="1"/>
    <xf numFmtId="0" fontId="11" fillId="4" borderId="0" xfId="0" applyFont="1" applyFill="1" applyProtection="1"/>
    <xf numFmtId="0" fontId="2" fillId="4" borderId="5" xfId="0" applyFont="1" applyFill="1" applyBorder="1" applyProtection="1"/>
    <xf numFmtId="164" fontId="0" fillId="4" borderId="0" xfId="0" applyNumberFormat="1" applyFill="1" applyAlignment="1" applyProtection="1">
      <alignment horizontal="center"/>
    </xf>
    <xf numFmtId="0" fontId="13" fillId="4" borderId="0" xfId="0" applyFont="1" applyFill="1" applyAlignment="1" applyProtection="1">
      <alignment horizontal="center"/>
    </xf>
    <xf numFmtId="0" fontId="17" fillId="4" borderId="0" xfId="0" applyFont="1" applyFill="1" applyAlignment="1" applyProtection="1">
      <alignment horizontal="center"/>
    </xf>
    <xf numFmtId="0" fontId="10" fillId="4" borderId="0" xfId="0" applyFont="1" applyFill="1"/>
    <xf numFmtId="0" fontId="0" fillId="4" borderId="0" xfId="0" applyFill="1" applyAlignment="1">
      <alignment horizontal="center"/>
    </xf>
    <xf numFmtId="0" fontId="0" fillId="4" borderId="0" xfId="0" applyFill="1" applyBorder="1" applyAlignment="1">
      <alignment horizontal="center"/>
    </xf>
    <xf numFmtId="0" fontId="12" fillId="4" borderId="0" xfId="0" applyFont="1" applyFill="1"/>
    <xf numFmtId="0" fontId="0" fillId="0" borderId="0" xfId="0" applyFill="1" applyBorder="1" applyProtection="1"/>
    <xf numFmtId="164" fontId="0" fillId="0" borderId="0" xfId="0" applyNumberFormat="1" applyFill="1" applyAlignment="1" applyProtection="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23" fillId="4" borderId="0" xfId="0" applyFont="1" applyFill="1" applyAlignment="1" applyProtection="1">
      <alignment horizontal="right"/>
    </xf>
    <xf numFmtId="0" fontId="23" fillId="4" borderId="0" xfId="0" applyFont="1" applyFill="1" applyAlignment="1">
      <alignment horizontal="right"/>
    </xf>
    <xf numFmtId="0" fontId="10" fillId="4" borderId="0" xfId="0" applyFont="1" applyFill="1" applyAlignment="1" applyProtection="1">
      <alignment horizontal="center"/>
    </xf>
    <xf numFmtId="0" fontId="12" fillId="4" borderId="0" xfId="0" applyFont="1" applyFill="1" applyAlignment="1" applyProtection="1">
      <alignment horizontal="center"/>
    </xf>
    <xf numFmtId="0" fontId="0" fillId="2" borderId="9"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0" fillId="2" borderId="11" xfId="0" applyFill="1" applyBorder="1" applyAlignment="1" applyProtection="1">
      <alignment horizontal="center"/>
      <protection locked="0"/>
    </xf>
    <xf numFmtId="0" fontId="0" fillId="2" borderId="12" xfId="0" applyFill="1" applyBorder="1" applyAlignment="1" applyProtection="1">
      <alignment horizontal="center"/>
      <protection locked="0"/>
    </xf>
    <xf numFmtId="0" fontId="0" fillId="2" borderId="13" xfId="0" applyFill="1" applyBorder="1" applyAlignment="1" applyProtection="1">
      <alignment horizontal="center"/>
      <protection locked="0"/>
    </xf>
    <xf numFmtId="0" fontId="15" fillId="2" borderId="10" xfId="0" applyFont="1" applyFill="1" applyBorder="1" applyAlignment="1" applyProtection="1">
      <alignment horizontal="center"/>
      <protection locked="0"/>
    </xf>
    <xf numFmtId="0" fontId="6" fillId="4" borderId="4" xfId="0" applyFont="1" applyFill="1" applyBorder="1" applyAlignment="1" applyProtection="1">
      <alignment horizontal="left"/>
    </xf>
    <xf numFmtId="0" fontId="4" fillId="4" borderId="0" xfId="0" applyFont="1" applyFill="1" applyBorder="1" applyAlignment="1" applyProtection="1">
      <alignment vertical="center"/>
    </xf>
    <xf numFmtId="0" fontId="0" fillId="4" borderId="0" xfId="0" applyFill="1" applyBorder="1" applyProtection="1"/>
    <xf numFmtId="0" fontId="1" fillId="4" borderId="0" xfId="0" applyFont="1" applyFill="1" applyAlignment="1" applyProtection="1">
      <alignment wrapText="1"/>
    </xf>
    <xf numFmtId="0" fontId="0" fillId="0" borderId="0" xfId="0" applyFill="1" applyBorder="1" applyAlignment="1" applyProtection="1">
      <alignment horizontal="center"/>
    </xf>
    <xf numFmtId="0" fontId="4" fillId="4" borderId="4" xfId="0" applyFont="1" applyFill="1" applyBorder="1" applyAlignment="1" applyProtection="1">
      <alignment vertical="center"/>
    </xf>
  </cellXfs>
  <cellStyles count="1">
    <cellStyle name="Standard"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5" Type="http://schemas.openxmlformats.org/officeDocument/2006/relationships/image" Target="../media/image7.emf"/><Relationship Id="rId10" Type="http://schemas.openxmlformats.org/officeDocument/2006/relationships/image" Target="../media/image12.emf"/><Relationship Id="rId4" Type="http://schemas.openxmlformats.org/officeDocument/2006/relationships/image" Target="../media/image6.emf"/><Relationship Id="rId9" Type="http://schemas.openxmlformats.org/officeDocument/2006/relationships/image" Target="../media/image1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15.emf"/><Relationship Id="rId7" Type="http://schemas.openxmlformats.org/officeDocument/2006/relationships/image" Target="../media/image19.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8.emf"/><Relationship Id="rId5" Type="http://schemas.openxmlformats.org/officeDocument/2006/relationships/image" Target="../media/image17.emf"/><Relationship Id="rId10" Type="http://schemas.openxmlformats.org/officeDocument/2006/relationships/image" Target="../media/image6.emf"/><Relationship Id="rId4" Type="http://schemas.openxmlformats.org/officeDocument/2006/relationships/image" Target="../media/image16.emf"/><Relationship Id="rId9"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1438275</xdr:colOff>
          <xdr:row>35</xdr:row>
          <xdr:rowOff>0</xdr:rowOff>
        </xdr:from>
        <xdr:to>
          <xdr:col>2</xdr:col>
          <xdr:colOff>0</xdr:colOff>
          <xdr:row>36</xdr:row>
          <xdr:rowOff>19050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FF0000"/>
                  </a:solidFill>
                  <a:latin typeface="Arial"/>
                  <a:cs typeface="Arial"/>
                </a:rPr>
                <a:t>Belastungsfall 1</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1438275</xdr:colOff>
          <xdr:row>37</xdr:row>
          <xdr:rowOff>0</xdr:rowOff>
        </xdr:from>
        <xdr:to>
          <xdr:col>2</xdr:col>
          <xdr:colOff>0</xdr:colOff>
          <xdr:row>38</xdr:row>
          <xdr:rowOff>19050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FF0000"/>
                  </a:solidFill>
                  <a:latin typeface="Arial"/>
                  <a:cs typeface="Arial"/>
                </a:rPr>
                <a:t>Belastungsfall 2</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1438275</xdr:colOff>
          <xdr:row>38</xdr:row>
          <xdr:rowOff>161925</xdr:rowOff>
        </xdr:from>
        <xdr:to>
          <xdr:col>1</xdr:col>
          <xdr:colOff>3048000</xdr:colOff>
          <xdr:row>40</xdr:row>
          <xdr:rowOff>19050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FF0000"/>
                  </a:solidFill>
                  <a:latin typeface="Arial"/>
                  <a:cs typeface="Arial"/>
                </a:rPr>
                <a:t>Belastungsfall 3</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1438275</xdr:colOff>
          <xdr:row>41</xdr:row>
          <xdr:rowOff>0</xdr:rowOff>
        </xdr:from>
        <xdr:to>
          <xdr:col>1</xdr:col>
          <xdr:colOff>3048000</xdr:colOff>
          <xdr:row>42</xdr:row>
          <xdr:rowOff>19050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FF0000"/>
                  </a:solidFill>
                  <a:latin typeface="Arial"/>
                  <a:cs typeface="Arial"/>
                </a:rPr>
                <a:t>Belastungsfall 4</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1438275</xdr:colOff>
          <xdr:row>42</xdr:row>
          <xdr:rowOff>161925</xdr:rowOff>
        </xdr:from>
        <xdr:to>
          <xdr:col>2</xdr:col>
          <xdr:colOff>0</xdr:colOff>
          <xdr:row>44</xdr:row>
          <xdr:rowOff>19050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FF0000"/>
                  </a:solidFill>
                  <a:latin typeface="Arial"/>
                  <a:cs typeface="Arial"/>
                </a:rPr>
                <a:t>Belastungsfall 5</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1438275</xdr:colOff>
          <xdr:row>48</xdr:row>
          <xdr:rowOff>0</xdr:rowOff>
        </xdr:from>
        <xdr:to>
          <xdr:col>2</xdr:col>
          <xdr:colOff>0</xdr:colOff>
          <xdr:row>49</xdr:row>
          <xdr:rowOff>19050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FF0000"/>
                  </a:solidFill>
                  <a:latin typeface="Arial"/>
                  <a:cs typeface="Arial"/>
                </a:rPr>
                <a:t>Belastungsfall 1</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1438275</xdr:colOff>
          <xdr:row>52</xdr:row>
          <xdr:rowOff>0</xdr:rowOff>
        </xdr:from>
        <xdr:to>
          <xdr:col>2</xdr:col>
          <xdr:colOff>0</xdr:colOff>
          <xdr:row>53</xdr:row>
          <xdr:rowOff>9525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FF0000"/>
                  </a:solidFill>
                  <a:latin typeface="Arial"/>
                  <a:cs typeface="Arial"/>
                </a:rPr>
                <a:t>Belastungsfall 3</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1438275</xdr:colOff>
          <xdr:row>54</xdr:row>
          <xdr:rowOff>0</xdr:rowOff>
        </xdr:from>
        <xdr:to>
          <xdr:col>1</xdr:col>
          <xdr:colOff>3038475</xdr:colOff>
          <xdr:row>55</xdr:row>
          <xdr:rowOff>19050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FF0000"/>
                  </a:solidFill>
                  <a:latin typeface="Arial"/>
                  <a:cs typeface="Arial"/>
                </a:rPr>
                <a:t>Belastungsfall 4</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1438275</xdr:colOff>
          <xdr:row>56</xdr:row>
          <xdr:rowOff>0</xdr:rowOff>
        </xdr:from>
        <xdr:to>
          <xdr:col>1</xdr:col>
          <xdr:colOff>3038475</xdr:colOff>
          <xdr:row>57</xdr:row>
          <xdr:rowOff>9525</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FF0000"/>
                  </a:solidFill>
                  <a:latin typeface="Arial"/>
                  <a:cs typeface="Arial"/>
                </a:rPr>
                <a:t>Belastungsfall 5</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1438275</xdr:colOff>
          <xdr:row>61</xdr:row>
          <xdr:rowOff>0</xdr:rowOff>
        </xdr:from>
        <xdr:to>
          <xdr:col>2</xdr:col>
          <xdr:colOff>0</xdr:colOff>
          <xdr:row>62</xdr:row>
          <xdr:rowOff>19050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FF"/>
                  </a:solidFill>
                  <a:latin typeface="Arial"/>
                  <a:cs typeface="Arial"/>
                </a:rPr>
                <a:t>Belastungsfall 1</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1438275</xdr:colOff>
          <xdr:row>62</xdr:row>
          <xdr:rowOff>161925</xdr:rowOff>
        </xdr:from>
        <xdr:to>
          <xdr:col>1</xdr:col>
          <xdr:colOff>3048000</xdr:colOff>
          <xdr:row>64</xdr:row>
          <xdr:rowOff>19050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FF"/>
                  </a:solidFill>
                  <a:latin typeface="Arial"/>
                  <a:cs typeface="Arial"/>
                </a:rPr>
                <a:t>Belastungsfall 2</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1438275</xdr:colOff>
          <xdr:row>64</xdr:row>
          <xdr:rowOff>142875</xdr:rowOff>
        </xdr:from>
        <xdr:to>
          <xdr:col>2</xdr:col>
          <xdr:colOff>0</xdr:colOff>
          <xdr:row>66</xdr:row>
          <xdr:rowOff>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FF"/>
                  </a:solidFill>
                  <a:latin typeface="Arial"/>
                  <a:cs typeface="Arial"/>
                </a:rPr>
                <a:t>Belastungsfall 3</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1438275</xdr:colOff>
          <xdr:row>67</xdr:row>
          <xdr:rowOff>0</xdr:rowOff>
        </xdr:from>
        <xdr:to>
          <xdr:col>2</xdr:col>
          <xdr:colOff>0</xdr:colOff>
          <xdr:row>68</xdr:row>
          <xdr:rowOff>19050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FF"/>
                  </a:solidFill>
                  <a:latin typeface="Arial"/>
                  <a:cs typeface="Arial"/>
                </a:rPr>
                <a:t>Belastungsfall 4</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1438275</xdr:colOff>
          <xdr:row>69</xdr:row>
          <xdr:rowOff>0</xdr:rowOff>
        </xdr:from>
        <xdr:to>
          <xdr:col>2</xdr:col>
          <xdr:colOff>0</xdr:colOff>
          <xdr:row>70</xdr:row>
          <xdr:rowOff>19050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FF"/>
                  </a:solidFill>
                  <a:latin typeface="Arial"/>
                  <a:cs typeface="Arial"/>
                </a:rPr>
                <a:t>Belastungsfall 5</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1438275</xdr:colOff>
          <xdr:row>74</xdr:row>
          <xdr:rowOff>0</xdr:rowOff>
        </xdr:from>
        <xdr:to>
          <xdr:col>2</xdr:col>
          <xdr:colOff>0</xdr:colOff>
          <xdr:row>75</xdr:row>
          <xdr:rowOff>19050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FF"/>
                  </a:solidFill>
                  <a:latin typeface="Arial"/>
                  <a:cs typeface="Arial"/>
                </a:rPr>
                <a:t>Belastungsfall 1</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1438275</xdr:colOff>
          <xdr:row>78</xdr:row>
          <xdr:rowOff>0</xdr:rowOff>
        </xdr:from>
        <xdr:to>
          <xdr:col>1</xdr:col>
          <xdr:colOff>3038475</xdr:colOff>
          <xdr:row>79</xdr:row>
          <xdr:rowOff>19050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FF"/>
                  </a:solidFill>
                  <a:latin typeface="Arial"/>
                  <a:cs typeface="Arial"/>
                </a:rPr>
                <a:t>Belastungsfall 3</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1438275</xdr:colOff>
          <xdr:row>80</xdr:row>
          <xdr:rowOff>0</xdr:rowOff>
        </xdr:from>
        <xdr:to>
          <xdr:col>2</xdr:col>
          <xdr:colOff>0</xdr:colOff>
          <xdr:row>81</xdr:row>
          <xdr:rowOff>19050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FF"/>
                  </a:solidFill>
                  <a:latin typeface="Arial"/>
                  <a:cs typeface="Arial"/>
                </a:rPr>
                <a:t>Belastungsfall 4</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1438275</xdr:colOff>
          <xdr:row>81</xdr:row>
          <xdr:rowOff>161925</xdr:rowOff>
        </xdr:from>
        <xdr:to>
          <xdr:col>1</xdr:col>
          <xdr:colOff>3038475</xdr:colOff>
          <xdr:row>83</xdr:row>
          <xdr:rowOff>19050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FF"/>
                  </a:solidFill>
                  <a:latin typeface="Arial"/>
                  <a:cs typeface="Arial"/>
                </a:rPr>
                <a:t>Belastungsfall 5</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1438275</xdr:colOff>
          <xdr:row>49</xdr:row>
          <xdr:rowOff>152400</xdr:rowOff>
        </xdr:from>
        <xdr:to>
          <xdr:col>1</xdr:col>
          <xdr:colOff>3038475</xdr:colOff>
          <xdr:row>51</xdr:row>
          <xdr:rowOff>9525</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FF0000"/>
                  </a:solidFill>
                  <a:latin typeface="Arial"/>
                  <a:cs typeface="Arial"/>
                </a:rPr>
                <a:t>Belastungsfall 2</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1438275</xdr:colOff>
          <xdr:row>76</xdr:row>
          <xdr:rowOff>0</xdr:rowOff>
        </xdr:from>
        <xdr:to>
          <xdr:col>2</xdr:col>
          <xdr:colOff>0</xdr:colOff>
          <xdr:row>77</xdr:row>
          <xdr:rowOff>19050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FF"/>
                  </a:solidFill>
                  <a:latin typeface="Arial"/>
                  <a:cs typeface="Arial"/>
                </a:rPr>
                <a:t>Belastungsfall 2</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xdr:colOff>
          <xdr:row>29</xdr:row>
          <xdr:rowOff>0</xdr:rowOff>
        </xdr:from>
        <xdr:to>
          <xdr:col>3</xdr:col>
          <xdr:colOff>0</xdr:colOff>
          <xdr:row>30</xdr:row>
          <xdr:rowOff>28575</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8000"/>
                  </a:solidFill>
                  <a:latin typeface="Arial"/>
                  <a:cs typeface="Arial"/>
                </a:rPr>
                <a:t>Start</a:t>
              </a:r>
            </a:p>
          </xdr:txBody>
        </xdr:sp>
        <xdr:clientData/>
      </xdr:twoCellAnchor>
    </mc:Choice>
    <mc:Fallback/>
  </mc:AlternateContent>
  <xdr:twoCellAnchor editAs="oneCell">
    <xdr:from>
      <xdr:col>1</xdr:col>
      <xdr:colOff>104775</xdr:colOff>
      <xdr:row>10</xdr:row>
      <xdr:rowOff>123825</xdr:rowOff>
    </xdr:from>
    <xdr:to>
      <xdr:col>3</xdr:col>
      <xdr:colOff>695325</xdr:colOff>
      <xdr:row>17</xdr:row>
      <xdr:rowOff>0</xdr:rowOff>
    </xdr:to>
    <xdr:pic>
      <xdr:nvPicPr>
        <xdr:cNvPr id="1080" name="Picture 56">
          <a:extLst>
            <a:ext uri="{FF2B5EF4-FFF2-40B4-BE49-F238E27FC236}">
              <a16:creationId xmlns:a16="http://schemas.microsoft.com/office/drawing/2014/main" id="{00000000-0008-0000-0000-000038040000}"/>
            </a:ext>
          </a:extLst>
        </xdr:cNvPr>
        <xdr:cNvPicPr>
          <a:picLocks noChangeAspect="1" noChangeArrowheads="1"/>
        </xdr:cNvPicPr>
      </xdr:nvPicPr>
      <xdr:blipFill>
        <a:blip xmlns:r="http://schemas.openxmlformats.org/officeDocument/2006/relationships" r:embed="rId1" cstate="print">
          <a:lum bright="-42000" contrast="60000"/>
          <a:extLst>
            <a:ext uri="{28A0092B-C50C-407E-A947-70E740481C1C}">
              <a14:useLocalDpi xmlns:a14="http://schemas.microsoft.com/office/drawing/2010/main" val="0"/>
            </a:ext>
          </a:extLst>
        </a:blip>
        <a:srcRect/>
        <a:stretch>
          <a:fillRect/>
        </a:stretch>
      </xdr:blipFill>
      <xdr:spPr bwMode="auto">
        <a:xfrm>
          <a:off x="952500" y="2181225"/>
          <a:ext cx="4486275" cy="10096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2</xdr:col>
      <xdr:colOff>57150</xdr:colOff>
      <xdr:row>2</xdr:row>
      <xdr:rowOff>57150</xdr:rowOff>
    </xdr:from>
    <xdr:to>
      <xdr:col>3</xdr:col>
      <xdr:colOff>742950</xdr:colOff>
      <xdr:row>6</xdr:row>
      <xdr:rowOff>152400</xdr:rowOff>
    </xdr:to>
    <xdr:pic>
      <xdr:nvPicPr>
        <xdr:cNvPr id="1081" name="Picture 57" descr="Wellen_01">
          <a:extLst>
            <a:ext uri="{FF2B5EF4-FFF2-40B4-BE49-F238E27FC236}">
              <a16:creationId xmlns:a16="http://schemas.microsoft.com/office/drawing/2014/main" id="{00000000-0008-0000-0000-00003904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952875" y="390525"/>
          <a:ext cx="1533525" cy="1085850"/>
        </a:xfrm>
        <a:prstGeom prst="rect">
          <a:avLst/>
        </a:prstGeom>
        <a:noFill/>
        <a:ln w="25400">
          <a:solidFill>
            <a:srgbClr xmlns:mc="http://schemas.openxmlformats.org/markup-compatibility/2006" xmlns:a14="http://schemas.microsoft.com/office/drawing/2010/main" val="008000" mc:Ignorable="a14" a14:legacySpreadsheetColorIndex="17"/>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21</xdr:row>
          <xdr:rowOff>142875</xdr:rowOff>
        </xdr:from>
        <xdr:to>
          <xdr:col>4</xdr:col>
          <xdr:colOff>0</xdr:colOff>
          <xdr:row>23</xdr:row>
          <xdr:rowOff>9525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Ja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23</xdr:row>
          <xdr:rowOff>152400</xdr:rowOff>
        </xdr:from>
        <xdr:to>
          <xdr:col>4</xdr:col>
          <xdr:colOff>0</xdr:colOff>
          <xdr:row>25</xdr:row>
          <xdr:rowOff>19050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Nein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48</xdr:row>
          <xdr:rowOff>142875</xdr:rowOff>
        </xdr:from>
        <xdr:to>
          <xdr:col>4</xdr:col>
          <xdr:colOff>0</xdr:colOff>
          <xdr:row>50</xdr:row>
          <xdr:rowOff>9525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Ja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50</xdr:row>
          <xdr:rowOff>152400</xdr:rowOff>
        </xdr:from>
        <xdr:to>
          <xdr:col>3</xdr:col>
          <xdr:colOff>838200</xdr:colOff>
          <xdr:row>52</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Nein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75</xdr:row>
          <xdr:rowOff>142875</xdr:rowOff>
        </xdr:from>
        <xdr:to>
          <xdr:col>4</xdr:col>
          <xdr:colOff>0</xdr:colOff>
          <xdr:row>77</xdr:row>
          <xdr:rowOff>9525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Ja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77</xdr:row>
          <xdr:rowOff>152400</xdr:rowOff>
        </xdr:from>
        <xdr:to>
          <xdr:col>4</xdr:col>
          <xdr:colOff>0</xdr:colOff>
          <xdr:row>79</xdr:row>
          <xdr:rowOff>19050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Nein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103</xdr:row>
          <xdr:rowOff>142875</xdr:rowOff>
        </xdr:from>
        <xdr:to>
          <xdr:col>4</xdr:col>
          <xdr:colOff>0</xdr:colOff>
          <xdr:row>105</xdr:row>
          <xdr:rowOff>9525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Ja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105</xdr:row>
          <xdr:rowOff>152400</xdr:rowOff>
        </xdr:from>
        <xdr:to>
          <xdr:col>4</xdr:col>
          <xdr:colOff>0</xdr:colOff>
          <xdr:row>107</xdr:row>
          <xdr:rowOff>19050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Nein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132</xdr:row>
          <xdr:rowOff>142875</xdr:rowOff>
        </xdr:from>
        <xdr:to>
          <xdr:col>4</xdr:col>
          <xdr:colOff>0</xdr:colOff>
          <xdr:row>134</xdr:row>
          <xdr:rowOff>9525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Ja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134</xdr:row>
          <xdr:rowOff>152400</xdr:rowOff>
        </xdr:from>
        <xdr:to>
          <xdr:col>4</xdr:col>
          <xdr:colOff>0</xdr:colOff>
          <xdr:row>136</xdr:row>
          <xdr:rowOff>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Nein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157</xdr:row>
          <xdr:rowOff>142875</xdr:rowOff>
        </xdr:from>
        <xdr:to>
          <xdr:col>4</xdr:col>
          <xdr:colOff>0</xdr:colOff>
          <xdr:row>159</xdr:row>
          <xdr:rowOff>9525</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Ja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159</xdr:row>
          <xdr:rowOff>152400</xdr:rowOff>
        </xdr:from>
        <xdr:to>
          <xdr:col>4</xdr:col>
          <xdr:colOff>0</xdr:colOff>
          <xdr:row>161</xdr:row>
          <xdr:rowOff>19050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Nein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184</xdr:row>
          <xdr:rowOff>142875</xdr:rowOff>
        </xdr:from>
        <xdr:to>
          <xdr:col>4</xdr:col>
          <xdr:colOff>0</xdr:colOff>
          <xdr:row>186</xdr:row>
          <xdr:rowOff>9525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Ja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187</xdr:row>
          <xdr:rowOff>9525</xdr:rowOff>
        </xdr:from>
        <xdr:to>
          <xdr:col>3</xdr:col>
          <xdr:colOff>838200</xdr:colOff>
          <xdr:row>188</xdr:row>
          <xdr:rowOff>38100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Nein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212</xdr:row>
          <xdr:rowOff>142875</xdr:rowOff>
        </xdr:from>
        <xdr:to>
          <xdr:col>4</xdr:col>
          <xdr:colOff>0</xdr:colOff>
          <xdr:row>214</xdr:row>
          <xdr:rowOff>9525</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Ja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214</xdr:row>
          <xdr:rowOff>152400</xdr:rowOff>
        </xdr:from>
        <xdr:to>
          <xdr:col>4</xdr:col>
          <xdr:colOff>0</xdr:colOff>
          <xdr:row>216</xdr:row>
          <xdr:rowOff>19050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Nein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240</xdr:row>
          <xdr:rowOff>142875</xdr:rowOff>
        </xdr:from>
        <xdr:to>
          <xdr:col>4</xdr:col>
          <xdr:colOff>0</xdr:colOff>
          <xdr:row>242</xdr:row>
          <xdr:rowOff>9525</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Ja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242</xdr:row>
          <xdr:rowOff>152400</xdr:rowOff>
        </xdr:from>
        <xdr:to>
          <xdr:col>4</xdr:col>
          <xdr:colOff>0</xdr:colOff>
          <xdr:row>244</xdr:row>
          <xdr:rowOff>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Nein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268</xdr:row>
          <xdr:rowOff>142875</xdr:rowOff>
        </xdr:from>
        <xdr:to>
          <xdr:col>4</xdr:col>
          <xdr:colOff>0</xdr:colOff>
          <xdr:row>270</xdr:row>
          <xdr:rowOff>9525</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Ja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270</xdr:row>
          <xdr:rowOff>152400</xdr:rowOff>
        </xdr:from>
        <xdr:to>
          <xdr:col>4</xdr:col>
          <xdr:colOff>0</xdr:colOff>
          <xdr:row>272</xdr:row>
          <xdr:rowOff>19050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Nein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xdr:row>
          <xdr:rowOff>0</xdr:rowOff>
        </xdr:from>
        <xdr:to>
          <xdr:col>3</xdr:col>
          <xdr:colOff>28575</xdr:colOff>
          <xdr:row>12</xdr:row>
          <xdr:rowOff>161925</xdr:rowOff>
        </xdr:to>
        <xdr:sp macro="" textlink="">
          <xdr:nvSpPr>
            <xdr:cNvPr id="2074" name="Bild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0</xdr:rowOff>
        </xdr:from>
        <xdr:to>
          <xdr:col>3</xdr:col>
          <xdr:colOff>9525</xdr:colOff>
          <xdr:row>38</xdr:row>
          <xdr:rowOff>161925</xdr:rowOff>
        </xdr:to>
        <xdr:sp macro="" textlink="">
          <xdr:nvSpPr>
            <xdr:cNvPr id="2075" name="Bild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53</xdr:row>
          <xdr:rowOff>19050</xdr:rowOff>
        </xdr:from>
        <xdr:to>
          <xdr:col>2</xdr:col>
          <xdr:colOff>809625</xdr:colOff>
          <xdr:row>64</xdr:row>
          <xdr:rowOff>152400</xdr:rowOff>
        </xdr:to>
        <xdr:sp macro="" textlink="">
          <xdr:nvSpPr>
            <xdr:cNvPr id="2076" name="Bild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81</xdr:row>
          <xdr:rowOff>9525</xdr:rowOff>
        </xdr:from>
        <xdr:to>
          <xdr:col>3</xdr:col>
          <xdr:colOff>85725</xdr:colOff>
          <xdr:row>92</xdr:row>
          <xdr:rowOff>161925</xdr:rowOff>
        </xdr:to>
        <xdr:sp macro="" textlink="">
          <xdr:nvSpPr>
            <xdr:cNvPr id="2077" name="Bild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solidFill>
              <a:srgbClr val="FF0000" mc:Ignorable="a14" a14:legacySpreadsheetColorIndex="10"/>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152400</xdr:rowOff>
        </xdr:from>
        <xdr:to>
          <xdr:col>3</xdr:col>
          <xdr:colOff>28575</xdr:colOff>
          <xdr:row>120</xdr:row>
          <xdr:rowOff>114300</xdr:rowOff>
        </xdr:to>
        <xdr:sp macro="" textlink="">
          <xdr:nvSpPr>
            <xdr:cNvPr id="2078" name="Bild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137</xdr:row>
          <xdr:rowOff>0</xdr:rowOff>
        </xdr:from>
        <xdr:to>
          <xdr:col>3</xdr:col>
          <xdr:colOff>19050</xdr:colOff>
          <xdr:row>148</xdr:row>
          <xdr:rowOff>152400</xdr:rowOff>
        </xdr:to>
        <xdr:sp macro="" textlink="">
          <xdr:nvSpPr>
            <xdr:cNvPr id="2079" name="Bild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163</xdr:row>
          <xdr:rowOff>0</xdr:rowOff>
        </xdr:from>
        <xdr:to>
          <xdr:col>3</xdr:col>
          <xdr:colOff>9525</xdr:colOff>
          <xdr:row>174</xdr:row>
          <xdr:rowOff>152400</xdr:rowOff>
        </xdr:to>
        <xdr:sp macro="" textlink="">
          <xdr:nvSpPr>
            <xdr:cNvPr id="2080" name="Bild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190</xdr:row>
          <xdr:rowOff>0</xdr:rowOff>
        </xdr:from>
        <xdr:to>
          <xdr:col>3</xdr:col>
          <xdr:colOff>38100</xdr:colOff>
          <xdr:row>201</xdr:row>
          <xdr:rowOff>152400</xdr:rowOff>
        </xdr:to>
        <xdr:sp macro="" textlink="">
          <xdr:nvSpPr>
            <xdr:cNvPr id="2081" name="Bild 33"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217</xdr:row>
          <xdr:rowOff>152400</xdr:rowOff>
        </xdr:from>
        <xdr:to>
          <xdr:col>3</xdr:col>
          <xdr:colOff>57150</xdr:colOff>
          <xdr:row>229</xdr:row>
          <xdr:rowOff>142875</xdr:rowOff>
        </xdr:to>
        <xdr:sp macro="" textlink="">
          <xdr:nvSpPr>
            <xdr:cNvPr id="2082" name="Bild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245</xdr:row>
          <xdr:rowOff>0</xdr:rowOff>
        </xdr:from>
        <xdr:to>
          <xdr:col>3</xdr:col>
          <xdr:colOff>47625</xdr:colOff>
          <xdr:row>256</xdr:row>
          <xdr:rowOff>114300</xdr:rowOff>
        </xdr:to>
        <xdr:sp macro="" textlink="">
          <xdr:nvSpPr>
            <xdr:cNvPr id="2083" name="Bild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21</xdr:row>
          <xdr:rowOff>142875</xdr:rowOff>
        </xdr:from>
        <xdr:to>
          <xdr:col>4</xdr:col>
          <xdr:colOff>0</xdr:colOff>
          <xdr:row>23</xdr:row>
          <xdr:rowOff>9525</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Ja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23</xdr:row>
          <xdr:rowOff>152400</xdr:rowOff>
        </xdr:from>
        <xdr:to>
          <xdr:col>4</xdr:col>
          <xdr:colOff>0</xdr:colOff>
          <xdr:row>25</xdr:row>
          <xdr:rowOff>0</xdr:rowOff>
        </xdr:to>
        <xdr:sp macro="" textlink="">
          <xdr:nvSpPr>
            <xdr:cNvPr id="3094" name="Button 22" hidden="1">
              <a:extLst>
                <a:ext uri="{63B3BB69-23CF-44E3-9099-C40C66FF867C}">
                  <a14:compatExt spid="_x0000_s3094"/>
                </a:ext>
                <a:ext uri="{FF2B5EF4-FFF2-40B4-BE49-F238E27FC236}">
                  <a16:creationId xmlns:a16="http://schemas.microsoft.com/office/drawing/2014/main" id="{00000000-0008-0000-0200-00001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Nein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48</xdr:row>
          <xdr:rowOff>142875</xdr:rowOff>
        </xdr:from>
        <xdr:to>
          <xdr:col>4</xdr:col>
          <xdr:colOff>0</xdr:colOff>
          <xdr:row>50</xdr:row>
          <xdr:rowOff>9525</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2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Ja</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838200</xdr:colOff>
          <xdr:row>50</xdr:row>
          <xdr:rowOff>123825</xdr:rowOff>
        </xdr:from>
        <xdr:to>
          <xdr:col>3</xdr:col>
          <xdr:colOff>828675</xdr:colOff>
          <xdr:row>51</xdr:row>
          <xdr:rowOff>152400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200-00001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Nein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75</xdr:row>
          <xdr:rowOff>142875</xdr:rowOff>
        </xdr:from>
        <xdr:to>
          <xdr:col>4</xdr:col>
          <xdr:colOff>0</xdr:colOff>
          <xdr:row>77</xdr:row>
          <xdr:rowOff>9525</xdr:rowOff>
        </xdr:to>
        <xdr:sp macro="" textlink="">
          <xdr:nvSpPr>
            <xdr:cNvPr id="3097" name="Button 25" hidden="1">
              <a:extLst>
                <a:ext uri="{63B3BB69-23CF-44E3-9099-C40C66FF867C}">
                  <a14:compatExt spid="_x0000_s3097"/>
                </a:ext>
                <a:ext uri="{FF2B5EF4-FFF2-40B4-BE49-F238E27FC236}">
                  <a16:creationId xmlns:a16="http://schemas.microsoft.com/office/drawing/2014/main" id="{00000000-0008-0000-0200-00001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Ja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77</xdr:row>
          <xdr:rowOff>152400</xdr:rowOff>
        </xdr:from>
        <xdr:to>
          <xdr:col>4</xdr:col>
          <xdr:colOff>0</xdr:colOff>
          <xdr:row>79</xdr:row>
          <xdr:rowOff>19050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200-00001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Nein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103</xdr:row>
          <xdr:rowOff>142875</xdr:rowOff>
        </xdr:from>
        <xdr:to>
          <xdr:col>4</xdr:col>
          <xdr:colOff>0</xdr:colOff>
          <xdr:row>105</xdr:row>
          <xdr:rowOff>9525</xdr:rowOff>
        </xdr:to>
        <xdr:sp macro="" textlink="">
          <xdr:nvSpPr>
            <xdr:cNvPr id="3099" name="Button 27" hidden="1">
              <a:extLst>
                <a:ext uri="{63B3BB69-23CF-44E3-9099-C40C66FF867C}">
                  <a14:compatExt spid="_x0000_s3099"/>
                </a:ext>
                <a:ext uri="{FF2B5EF4-FFF2-40B4-BE49-F238E27FC236}">
                  <a16:creationId xmlns:a16="http://schemas.microsoft.com/office/drawing/2014/main" id="{00000000-0008-0000-0200-00001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Ja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105</xdr:row>
          <xdr:rowOff>152400</xdr:rowOff>
        </xdr:from>
        <xdr:to>
          <xdr:col>4</xdr:col>
          <xdr:colOff>0</xdr:colOff>
          <xdr:row>107</xdr:row>
          <xdr:rowOff>19050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200-00001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Nein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132</xdr:row>
          <xdr:rowOff>142875</xdr:rowOff>
        </xdr:from>
        <xdr:to>
          <xdr:col>4</xdr:col>
          <xdr:colOff>0</xdr:colOff>
          <xdr:row>134</xdr:row>
          <xdr:rowOff>9525</xdr:rowOff>
        </xdr:to>
        <xdr:sp macro="" textlink="">
          <xdr:nvSpPr>
            <xdr:cNvPr id="3101" name="Button 29" hidden="1">
              <a:extLst>
                <a:ext uri="{63B3BB69-23CF-44E3-9099-C40C66FF867C}">
                  <a14:compatExt spid="_x0000_s3101"/>
                </a:ext>
                <a:ext uri="{FF2B5EF4-FFF2-40B4-BE49-F238E27FC236}">
                  <a16:creationId xmlns:a16="http://schemas.microsoft.com/office/drawing/2014/main" id="{00000000-0008-0000-0200-00001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Ja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134</xdr:row>
          <xdr:rowOff>152400</xdr:rowOff>
        </xdr:from>
        <xdr:to>
          <xdr:col>4</xdr:col>
          <xdr:colOff>0</xdr:colOff>
          <xdr:row>136</xdr:row>
          <xdr:rowOff>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200-00001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Nein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157</xdr:row>
          <xdr:rowOff>142875</xdr:rowOff>
        </xdr:from>
        <xdr:to>
          <xdr:col>4</xdr:col>
          <xdr:colOff>0</xdr:colOff>
          <xdr:row>159</xdr:row>
          <xdr:rowOff>9525</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200-00001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Ja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159</xdr:row>
          <xdr:rowOff>152400</xdr:rowOff>
        </xdr:from>
        <xdr:to>
          <xdr:col>4</xdr:col>
          <xdr:colOff>0</xdr:colOff>
          <xdr:row>161</xdr:row>
          <xdr:rowOff>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200-00002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Nein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184</xdr:row>
          <xdr:rowOff>142875</xdr:rowOff>
        </xdr:from>
        <xdr:to>
          <xdr:col>4</xdr:col>
          <xdr:colOff>0</xdr:colOff>
          <xdr:row>186</xdr:row>
          <xdr:rowOff>9525</xdr:rowOff>
        </xdr:to>
        <xdr:sp macro="" textlink="">
          <xdr:nvSpPr>
            <xdr:cNvPr id="3105" name="Button 33" hidden="1">
              <a:extLst>
                <a:ext uri="{63B3BB69-23CF-44E3-9099-C40C66FF867C}">
                  <a14:compatExt spid="_x0000_s3105"/>
                </a:ext>
                <a:ext uri="{FF2B5EF4-FFF2-40B4-BE49-F238E27FC236}">
                  <a16:creationId xmlns:a16="http://schemas.microsoft.com/office/drawing/2014/main" id="{00000000-0008-0000-0200-00002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Ja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187</xdr:row>
          <xdr:rowOff>9525</xdr:rowOff>
        </xdr:from>
        <xdr:to>
          <xdr:col>4</xdr:col>
          <xdr:colOff>0</xdr:colOff>
          <xdr:row>188</xdr:row>
          <xdr:rowOff>38100</xdr:rowOff>
        </xdr:to>
        <xdr:sp macro="" textlink="">
          <xdr:nvSpPr>
            <xdr:cNvPr id="3106" name="Button 34" hidden="1">
              <a:extLst>
                <a:ext uri="{63B3BB69-23CF-44E3-9099-C40C66FF867C}">
                  <a14:compatExt spid="_x0000_s3106"/>
                </a:ext>
                <a:ext uri="{FF2B5EF4-FFF2-40B4-BE49-F238E27FC236}">
                  <a16:creationId xmlns:a16="http://schemas.microsoft.com/office/drawing/2014/main" id="{00000000-0008-0000-0200-00002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Nein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212</xdr:row>
          <xdr:rowOff>142875</xdr:rowOff>
        </xdr:from>
        <xdr:to>
          <xdr:col>4</xdr:col>
          <xdr:colOff>0</xdr:colOff>
          <xdr:row>214</xdr:row>
          <xdr:rowOff>9525</xdr:rowOff>
        </xdr:to>
        <xdr:sp macro="" textlink="">
          <xdr:nvSpPr>
            <xdr:cNvPr id="3107" name="Button 35" hidden="1">
              <a:extLst>
                <a:ext uri="{63B3BB69-23CF-44E3-9099-C40C66FF867C}">
                  <a14:compatExt spid="_x0000_s3107"/>
                </a:ext>
                <a:ext uri="{FF2B5EF4-FFF2-40B4-BE49-F238E27FC236}">
                  <a16:creationId xmlns:a16="http://schemas.microsoft.com/office/drawing/2014/main" id="{00000000-0008-0000-0200-00002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Ja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214</xdr:row>
          <xdr:rowOff>152400</xdr:rowOff>
        </xdr:from>
        <xdr:to>
          <xdr:col>4</xdr:col>
          <xdr:colOff>0</xdr:colOff>
          <xdr:row>216</xdr:row>
          <xdr:rowOff>19050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200-00002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Nein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240</xdr:row>
          <xdr:rowOff>142875</xdr:rowOff>
        </xdr:from>
        <xdr:to>
          <xdr:col>4</xdr:col>
          <xdr:colOff>0</xdr:colOff>
          <xdr:row>242</xdr:row>
          <xdr:rowOff>9525</xdr:rowOff>
        </xdr:to>
        <xdr:sp macro="" textlink="">
          <xdr:nvSpPr>
            <xdr:cNvPr id="3109" name="Button 37" hidden="1">
              <a:extLst>
                <a:ext uri="{63B3BB69-23CF-44E3-9099-C40C66FF867C}">
                  <a14:compatExt spid="_x0000_s3109"/>
                </a:ext>
                <a:ext uri="{FF2B5EF4-FFF2-40B4-BE49-F238E27FC236}">
                  <a16:creationId xmlns:a16="http://schemas.microsoft.com/office/drawing/2014/main" id="{00000000-0008-0000-0200-00002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Ja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242</xdr:row>
          <xdr:rowOff>152400</xdr:rowOff>
        </xdr:from>
        <xdr:to>
          <xdr:col>4</xdr:col>
          <xdr:colOff>0</xdr:colOff>
          <xdr:row>244</xdr:row>
          <xdr:rowOff>0</xdr:rowOff>
        </xdr:to>
        <xdr:sp macro="" textlink="">
          <xdr:nvSpPr>
            <xdr:cNvPr id="3110" name="Button 38" hidden="1">
              <a:extLst>
                <a:ext uri="{63B3BB69-23CF-44E3-9099-C40C66FF867C}">
                  <a14:compatExt spid="_x0000_s3110"/>
                </a:ext>
                <a:ext uri="{FF2B5EF4-FFF2-40B4-BE49-F238E27FC236}">
                  <a16:creationId xmlns:a16="http://schemas.microsoft.com/office/drawing/2014/main" id="{00000000-0008-0000-0200-00002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Nein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268</xdr:row>
          <xdr:rowOff>142875</xdr:rowOff>
        </xdr:from>
        <xdr:to>
          <xdr:col>4</xdr:col>
          <xdr:colOff>0</xdr:colOff>
          <xdr:row>270</xdr:row>
          <xdr:rowOff>9525</xdr:rowOff>
        </xdr:to>
        <xdr:sp macro="" textlink="">
          <xdr:nvSpPr>
            <xdr:cNvPr id="3111" name="Button 39" hidden="1">
              <a:extLst>
                <a:ext uri="{63B3BB69-23CF-44E3-9099-C40C66FF867C}">
                  <a14:compatExt spid="_x0000_s3111"/>
                </a:ext>
                <a:ext uri="{FF2B5EF4-FFF2-40B4-BE49-F238E27FC236}">
                  <a16:creationId xmlns:a16="http://schemas.microsoft.com/office/drawing/2014/main" id="{00000000-0008-0000-0200-00002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Ja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270</xdr:row>
          <xdr:rowOff>152400</xdr:rowOff>
        </xdr:from>
        <xdr:to>
          <xdr:col>4</xdr:col>
          <xdr:colOff>0</xdr:colOff>
          <xdr:row>272</xdr:row>
          <xdr:rowOff>19050</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200-00002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DE" sz="1000" b="1" i="0" u="none" strike="noStrike" baseline="0">
                  <a:solidFill>
                    <a:srgbClr val="000000"/>
                  </a:solidFill>
                  <a:latin typeface="Arial"/>
                  <a:cs typeface="Arial"/>
                </a:rPr>
                <a:t>Nein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xdr:row>
          <xdr:rowOff>0</xdr:rowOff>
        </xdr:from>
        <xdr:to>
          <xdr:col>3</xdr:col>
          <xdr:colOff>28575</xdr:colOff>
          <xdr:row>12</xdr:row>
          <xdr:rowOff>161925</xdr:rowOff>
        </xdr:to>
        <xdr:sp macro="" textlink="">
          <xdr:nvSpPr>
            <xdr:cNvPr id="3113" name="Bild 41" hidden="1">
              <a:extLst>
                <a:ext uri="{63B3BB69-23CF-44E3-9099-C40C66FF867C}">
                  <a14:compatExt spid="_x0000_s3113"/>
                </a:ext>
                <a:ext uri="{FF2B5EF4-FFF2-40B4-BE49-F238E27FC236}">
                  <a16:creationId xmlns:a16="http://schemas.microsoft.com/office/drawing/2014/main" id="{00000000-0008-0000-0200-000029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9525</xdr:rowOff>
        </xdr:from>
        <xdr:to>
          <xdr:col>2</xdr:col>
          <xdr:colOff>838200</xdr:colOff>
          <xdr:row>38</xdr:row>
          <xdr:rowOff>9525</xdr:rowOff>
        </xdr:to>
        <xdr:sp macro="" textlink="">
          <xdr:nvSpPr>
            <xdr:cNvPr id="3114" name="Bild 42"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53</xdr:row>
          <xdr:rowOff>9525</xdr:rowOff>
        </xdr:from>
        <xdr:to>
          <xdr:col>2</xdr:col>
          <xdr:colOff>800100</xdr:colOff>
          <xdr:row>64</xdr:row>
          <xdr:rowOff>142875</xdr:rowOff>
        </xdr:to>
        <xdr:sp macro="" textlink="">
          <xdr:nvSpPr>
            <xdr:cNvPr id="3115" name="Bild 43"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109</xdr:row>
          <xdr:rowOff>0</xdr:rowOff>
        </xdr:from>
        <xdr:to>
          <xdr:col>3</xdr:col>
          <xdr:colOff>9525</xdr:colOff>
          <xdr:row>121</xdr:row>
          <xdr:rowOff>9525</xdr:rowOff>
        </xdr:to>
        <xdr:sp macro="" textlink="">
          <xdr:nvSpPr>
            <xdr:cNvPr id="3116" name="Bild 44"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137</xdr:row>
          <xdr:rowOff>19050</xdr:rowOff>
        </xdr:from>
        <xdr:to>
          <xdr:col>3</xdr:col>
          <xdr:colOff>19050</xdr:colOff>
          <xdr:row>149</xdr:row>
          <xdr:rowOff>0</xdr:rowOff>
        </xdr:to>
        <xdr:sp macro="" textlink="">
          <xdr:nvSpPr>
            <xdr:cNvPr id="3117" name="Bild 45"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162</xdr:row>
          <xdr:rowOff>9525</xdr:rowOff>
        </xdr:from>
        <xdr:to>
          <xdr:col>3</xdr:col>
          <xdr:colOff>9525</xdr:colOff>
          <xdr:row>174</xdr:row>
          <xdr:rowOff>0</xdr:rowOff>
        </xdr:to>
        <xdr:sp macro="" textlink="">
          <xdr:nvSpPr>
            <xdr:cNvPr id="3118" name="Bild 46"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190</xdr:row>
          <xdr:rowOff>0</xdr:rowOff>
        </xdr:from>
        <xdr:to>
          <xdr:col>3</xdr:col>
          <xdr:colOff>9525</xdr:colOff>
          <xdr:row>201</xdr:row>
          <xdr:rowOff>152400</xdr:rowOff>
        </xdr:to>
        <xdr:sp macro="" textlink="">
          <xdr:nvSpPr>
            <xdr:cNvPr id="3119" name="Bild 47" hidden="1">
              <a:extLst>
                <a:ext uri="{63B3BB69-23CF-44E3-9099-C40C66FF867C}">
                  <a14:compatExt spid="_x0000_s3119"/>
                </a:ext>
                <a:ext uri="{FF2B5EF4-FFF2-40B4-BE49-F238E27FC236}">
                  <a16:creationId xmlns:a16="http://schemas.microsoft.com/office/drawing/2014/main" id="{00000000-0008-0000-0200-00002F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9525</xdr:rowOff>
        </xdr:from>
        <xdr:to>
          <xdr:col>3</xdr:col>
          <xdr:colOff>28575</xdr:colOff>
          <xdr:row>229</xdr:row>
          <xdr:rowOff>123825</xdr:rowOff>
        </xdr:to>
        <xdr:sp macro="" textlink="">
          <xdr:nvSpPr>
            <xdr:cNvPr id="3120" name="Bild 48"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0</xdr:rowOff>
        </xdr:from>
        <xdr:to>
          <xdr:col>3</xdr:col>
          <xdr:colOff>19050</xdr:colOff>
          <xdr:row>256</xdr:row>
          <xdr:rowOff>142875</xdr:rowOff>
        </xdr:to>
        <xdr:sp macro="" textlink="">
          <xdr:nvSpPr>
            <xdr:cNvPr id="3121" name="Bild 49"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81</xdr:row>
          <xdr:rowOff>9525</xdr:rowOff>
        </xdr:from>
        <xdr:to>
          <xdr:col>3</xdr:col>
          <xdr:colOff>85725</xdr:colOff>
          <xdr:row>92</xdr:row>
          <xdr:rowOff>133350</xdr:rowOff>
        </xdr:to>
        <xdr:sp macro="" textlink="">
          <xdr:nvSpPr>
            <xdr:cNvPr id="3321" name="Bild 29" hidden="1">
              <a:extLst>
                <a:ext uri="{63B3BB69-23CF-44E3-9099-C40C66FF867C}">
                  <a14:compatExt spid="_x0000_s3321"/>
                </a:ext>
                <a:ext uri="{FF2B5EF4-FFF2-40B4-BE49-F238E27FC236}">
                  <a16:creationId xmlns:a16="http://schemas.microsoft.com/office/drawing/2014/main" id="{00000000-0008-0000-0200-0000F90C0000}"/>
                </a:ext>
              </a:extLst>
            </xdr:cNvPr>
            <xdr:cNvSpPr/>
          </xdr:nvSpPr>
          <xdr:spPr bwMode="auto">
            <a:xfrm>
              <a:off x="0" y="0"/>
              <a:ext cx="0" cy="0"/>
            </a:xfrm>
            <a:prstGeom prst="rect">
              <a:avLst/>
            </a:prstGeom>
            <a:solidFill>
              <a:srgbClr val="FF0000" mc:Ignorable="a14" a14:legacySpreadsheetColorIndex="10"/>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7.emf"/><Relationship Id="rId18" Type="http://schemas.openxmlformats.org/officeDocument/2006/relationships/oleObject" Target="../embeddings/oleObject8.bin"/><Relationship Id="rId26" Type="http://schemas.openxmlformats.org/officeDocument/2006/relationships/ctrlProp" Target="../ctrlProps/ctrlProp24.xml"/><Relationship Id="rId39" Type="http://schemas.openxmlformats.org/officeDocument/2006/relationships/ctrlProp" Target="../ctrlProps/ctrlProp37.xml"/><Relationship Id="rId3" Type="http://schemas.openxmlformats.org/officeDocument/2006/relationships/vmlDrawing" Target="../drawings/vmlDrawing2.vml"/><Relationship Id="rId21" Type="http://schemas.openxmlformats.org/officeDocument/2006/relationships/image" Target="../media/image11.emf"/><Relationship Id="rId34" Type="http://schemas.openxmlformats.org/officeDocument/2006/relationships/ctrlProp" Target="../ctrlProps/ctrlProp32.xml"/><Relationship Id="rId42" Type="http://schemas.openxmlformats.org/officeDocument/2006/relationships/ctrlProp" Target="../ctrlProps/ctrlProp40.xml"/><Relationship Id="rId7" Type="http://schemas.openxmlformats.org/officeDocument/2006/relationships/image" Target="../media/image4.emf"/><Relationship Id="rId12" Type="http://schemas.openxmlformats.org/officeDocument/2006/relationships/oleObject" Target="../embeddings/oleObject5.bin"/><Relationship Id="rId17" Type="http://schemas.openxmlformats.org/officeDocument/2006/relationships/image" Target="../media/image9.emf"/><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ctrlProp" Target="../ctrlProps/ctrlProp27.xml"/><Relationship Id="rId41" Type="http://schemas.openxmlformats.org/officeDocument/2006/relationships/ctrlProp" Target="../ctrlProps/ctrlProp39.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1" Type="http://schemas.openxmlformats.org/officeDocument/2006/relationships/image" Target="../media/image6.emf"/><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image" Target="../media/image3.emf"/><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oleObject" Target="../embeddings/oleObject4.bin"/><Relationship Id="rId19" Type="http://schemas.openxmlformats.org/officeDocument/2006/relationships/image" Target="../media/image10.emf"/><Relationship Id="rId31" Type="http://schemas.openxmlformats.org/officeDocument/2006/relationships/ctrlProp" Target="../ctrlProps/ctrlProp29.xml"/><Relationship Id="rId44" Type="http://schemas.openxmlformats.org/officeDocument/2006/relationships/comments" Target="../comments2.xml"/><Relationship Id="rId4" Type="http://schemas.openxmlformats.org/officeDocument/2006/relationships/oleObject" Target="../embeddings/oleObject1.bin"/><Relationship Id="rId9" Type="http://schemas.openxmlformats.org/officeDocument/2006/relationships/image" Target="../media/image5.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s>
</file>

<file path=xl/worksheets/_rels/sheet3.xml.rels><?xml version="1.0" encoding="UTF-8" standalone="yes"?>
<Relationships xmlns="http://schemas.openxmlformats.org/package/2006/relationships"><Relationship Id="rId8" Type="http://schemas.openxmlformats.org/officeDocument/2006/relationships/oleObject" Target="../embeddings/oleObject13.bin"/><Relationship Id="rId13" Type="http://schemas.openxmlformats.org/officeDocument/2006/relationships/image" Target="../media/image17.emf"/><Relationship Id="rId18" Type="http://schemas.openxmlformats.org/officeDocument/2006/relationships/oleObject" Target="../embeddings/oleObject18.bin"/><Relationship Id="rId26" Type="http://schemas.openxmlformats.org/officeDocument/2006/relationships/ctrlProp" Target="../ctrlProps/ctrlProp44.xml"/><Relationship Id="rId39" Type="http://schemas.openxmlformats.org/officeDocument/2006/relationships/ctrlProp" Target="../ctrlProps/ctrlProp57.xml"/><Relationship Id="rId3" Type="http://schemas.openxmlformats.org/officeDocument/2006/relationships/vmlDrawing" Target="../drawings/vmlDrawing3.vml"/><Relationship Id="rId21" Type="http://schemas.openxmlformats.org/officeDocument/2006/relationships/image" Target="../media/image21.emf"/><Relationship Id="rId34" Type="http://schemas.openxmlformats.org/officeDocument/2006/relationships/ctrlProp" Target="../ctrlProps/ctrlProp52.xml"/><Relationship Id="rId42" Type="http://schemas.openxmlformats.org/officeDocument/2006/relationships/ctrlProp" Target="../ctrlProps/ctrlProp60.xml"/><Relationship Id="rId7" Type="http://schemas.openxmlformats.org/officeDocument/2006/relationships/image" Target="../media/image14.emf"/><Relationship Id="rId12" Type="http://schemas.openxmlformats.org/officeDocument/2006/relationships/oleObject" Target="../embeddings/oleObject15.bin"/><Relationship Id="rId17" Type="http://schemas.openxmlformats.org/officeDocument/2006/relationships/image" Target="../media/image19.emf"/><Relationship Id="rId25" Type="http://schemas.openxmlformats.org/officeDocument/2006/relationships/ctrlProp" Target="../ctrlProps/ctrlProp43.xml"/><Relationship Id="rId33" Type="http://schemas.openxmlformats.org/officeDocument/2006/relationships/ctrlProp" Target="../ctrlProps/ctrlProp51.xml"/><Relationship Id="rId38" Type="http://schemas.openxmlformats.org/officeDocument/2006/relationships/ctrlProp" Target="../ctrlProps/ctrlProp56.xml"/><Relationship Id="rId2" Type="http://schemas.openxmlformats.org/officeDocument/2006/relationships/drawing" Target="../drawings/drawing3.xml"/><Relationship Id="rId16" Type="http://schemas.openxmlformats.org/officeDocument/2006/relationships/oleObject" Target="../embeddings/oleObject17.bin"/><Relationship Id="rId20" Type="http://schemas.openxmlformats.org/officeDocument/2006/relationships/oleObject" Target="../embeddings/oleObject19.bin"/><Relationship Id="rId29" Type="http://schemas.openxmlformats.org/officeDocument/2006/relationships/ctrlProp" Target="../ctrlProps/ctrlProp47.xml"/><Relationship Id="rId41" Type="http://schemas.openxmlformats.org/officeDocument/2006/relationships/ctrlProp" Target="../ctrlProps/ctrlProp59.xml"/><Relationship Id="rId1" Type="http://schemas.openxmlformats.org/officeDocument/2006/relationships/printerSettings" Target="../printerSettings/printerSettings3.bin"/><Relationship Id="rId6" Type="http://schemas.openxmlformats.org/officeDocument/2006/relationships/oleObject" Target="../embeddings/oleObject12.bin"/><Relationship Id="rId11" Type="http://schemas.openxmlformats.org/officeDocument/2006/relationships/image" Target="../media/image16.emf"/><Relationship Id="rId24" Type="http://schemas.openxmlformats.org/officeDocument/2006/relationships/ctrlProp" Target="../ctrlProps/ctrlProp42.xml"/><Relationship Id="rId32" Type="http://schemas.openxmlformats.org/officeDocument/2006/relationships/ctrlProp" Target="../ctrlProps/ctrlProp50.xml"/><Relationship Id="rId37" Type="http://schemas.openxmlformats.org/officeDocument/2006/relationships/ctrlProp" Target="../ctrlProps/ctrlProp55.xml"/><Relationship Id="rId40" Type="http://schemas.openxmlformats.org/officeDocument/2006/relationships/ctrlProp" Target="../ctrlProps/ctrlProp58.xml"/><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6.emf"/><Relationship Id="rId28" Type="http://schemas.openxmlformats.org/officeDocument/2006/relationships/ctrlProp" Target="../ctrlProps/ctrlProp46.xml"/><Relationship Id="rId36" Type="http://schemas.openxmlformats.org/officeDocument/2006/relationships/ctrlProp" Target="../ctrlProps/ctrlProp54.xml"/><Relationship Id="rId10" Type="http://schemas.openxmlformats.org/officeDocument/2006/relationships/oleObject" Target="../embeddings/oleObject14.bin"/><Relationship Id="rId19" Type="http://schemas.openxmlformats.org/officeDocument/2006/relationships/image" Target="../media/image20.emf"/><Relationship Id="rId31" Type="http://schemas.openxmlformats.org/officeDocument/2006/relationships/ctrlProp" Target="../ctrlProps/ctrlProp49.xml"/><Relationship Id="rId44" Type="http://schemas.openxmlformats.org/officeDocument/2006/relationships/comments" Target="../comments3.xml"/><Relationship Id="rId4" Type="http://schemas.openxmlformats.org/officeDocument/2006/relationships/oleObject" Target="../embeddings/oleObject11.bin"/><Relationship Id="rId9" Type="http://schemas.openxmlformats.org/officeDocument/2006/relationships/image" Target="../media/image15.emf"/><Relationship Id="rId14" Type="http://schemas.openxmlformats.org/officeDocument/2006/relationships/oleObject" Target="../embeddings/oleObject16.bin"/><Relationship Id="rId22" Type="http://schemas.openxmlformats.org/officeDocument/2006/relationships/oleObject" Target="../embeddings/oleObject20.bin"/><Relationship Id="rId27" Type="http://schemas.openxmlformats.org/officeDocument/2006/relationships/ctrlProp" Target="../ctrlProps/ctrlProp45.xml"/><Relationship Id="rId30" Type="http://schemas.openxmlformats.org/officeDocument/2006/relationships/ctrlProp" Target="../ctrlProps/ctrlProp48.xml"/><Relationship Id="rId35" Type="http://schemas.openxmlformats.org/officeDocument/2006/relationships/ctrlProp" Target="../ctrlProps/ctrlProp53.xml"/><Relationship Id="rId43" Type="http://schemas.openxmlformats.org/officeDocument/2006/relationships/ctrlProp" Target="../ctrlProps/ctrlProp6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E212"/>
  <sheetViews>
    <sheetView tabSelected="1" topLeftCell="A163" workbookViewId="0">
      <selection activeCell="D189" sqref="D189"/>
    </sheetView>
  </sheetViews>
  <sheetFormatPr baseColWidth="10" defaultRowHeight="12.75" x14ac:dyDescent="0.2"/>
  <cols>
    <col min="1" max="1" width="12.7109375" style="3" customWidth="1"/>
    <col min="2" max="2" width="45.7109375" style="3" customWidth="1"/>
    <col min="3" max="4" width="12.7109375" style="4" customWidth="1"/>
    <col min="5" max="16384" width="11.42578125" style="1"/>
  </cols>
  <sheetData>
    <row r="1" spans="1:4" x14ac:dyDescent="0.2">
      <c r="A1" s="32" t="s">
        <v>153</v>
      </c>
      <c r="B1" s="13"/>
      <c r="C1" s="14" t="s">
        <v>0</v>
      </c>
      <c r="D1" s="15">
        <f ca="1">NOW()</f>
        <v>43786.626595486108</v>
      </c>
    </row>
    <row r="2" spans="1:4" ht="13.5" thickBot="1" x14ac:dyDescent="0.25">
      <c r="A2" s="13"/>
      <c r="B2" s="13"/>
      <c r="C2" s="14"/>
      <c r="D2" s="14"/>
    </row>
    <row r="3" spans="1:4" s="2" customFormat="1" ht="20.100000000000001" customHeight="1" x14ac:dyDescent="0.2">
      <c r="A3" s="16" t="s">
        <v>1</v>
      </c>
      <c r="B3" s="67" t="s">
        <v>159</v>
      </c>
      <c r="C3" s="62"/>
      <c r="D3" s="17"/>
    </row>
    <row r="4" spans="1:4" s="2" customFormat="1" ht="20.100000000000001" customHeight="1" x14ac:dyDescent="0.2">
      <c r="A4" s="18" t="s">
        <v>2</v>
      </c>
      <c r="B4" s="19" t="s">
        <v>3</v>
      </c>
      <c r="C4" s="20"/>
      <c r="D4" s="20"/>
    </row>
    <row r="5" spans="1:4" s="2" customFormat="1" ht="20.100000000000001" customHeight="1" x14ac:dyDescent="0.2">
      <c r="A5" s="18"/>
      <c r="B5" s="63"/>
      <c r="C5" s="20"/>
      <c r="D5" s="20"/>
    </row>
    <row r="6" spans="1:4" s="2" customFormat="1" ht="20.100000000000001" customHeight="1" x14ac:dyDescent="0.2">
      <c r="A6" s="18" t="s">
        <v>4</v>
      </c>
      <c r="B6" s="21" t="s">
        <v>5</v>
      </c>
      <c r="C6" s="22"/>
      <c r="D6" s="22"/>
    </row>
    <row r="7" spans="1:4" s="2" customFormat="1" ht="20.100000000000001" customHeight="1" thickBot="1" x14ac:dyDescent="0.25">
      <c r="A7" s="18" t="s">
        <v>6</v>
      </c>
      <c r="B7" s="21" t="s">
        <v>7</v>
      </c>
      <c r="C7" s="22"/>
      <c r="D7" s="22"/>
    </row>
    <row r="8" spans="1:4" s="2" customFormat="1" x14ac:dyDescent="0.2">
      <c r="A8" s="23"/>
      <c r="B8" s="24"/>
      <c r="C8" s="25"/>
      <c r="D8" s="25"/>
    </row>
    <row r="9" spans="1:4" s="2" customFormat="1" x14ac:dyDescent="0.2">
      <c r="A9" s="26"/>
      <c r="B9" s="64"/>
      <c r="C9" s="31"/>
      <c r="D9" s="31"/>
    </row>
    <row r="10" spans="1:4" s="2" customFormat="1" x14ac:dyDescent="0.2">
      <c r="A10" s="26"/>
      <c r="B10" s="64"/>
      <c r="C10" s="31"/>
      <c r="D10" s="31"/>
    </row>
    <row r="11" spans="1:4" s="2" customFormat="1" x14ac:dyDescent="0.2">
      <c r="A11" s="26"/>
      <c r="B11" s="64"/>
      <c r="C11" s="31"/>
      <c r="D11" s="31"/>
    </row>
    <row r="12" spans="1:4" s="2" customFormat="1" x14ac:dyDescent="0.2">
      <c r="A12" s="26"/>
      <c r="B12" s="64"/>
      <c r="C12" s="31"/>
      <c r="D12" s="31"/>
    </row>
    <row r="13" spans="1:4" s="2" customFormat="1" x14ac:dyDescent="0.2">
      <c r="A13" s="26"/>
      <c r="B13" s="64"/>
      <c r="C13" s="31"/>
      <c r="D13" s="31"/>
    </row>
    <row r="14" spans="1:4" s="2" customFormat="1" x14ac:dyDescent="0.2">
      <c r="A14" s="26"/>
      <c r="B14" s="64"/>
      <c r="C14" s="31"/>
      <c r="D14" s="31"/>
    </row>
    <row r="15" spans="1:4" s="2" customFormat="1" x14ac:dyDescent="0.2">
      <c r="A15" s="26"/>
      <c r="B15" s="64"/>
      <c r="C15" s="31"/>
      <c r="D15" s="31"/>
    </row>
    <row r="16" spans="1:4" s="2" customFormat="1" x14ac:dyDescent="0.2">
      <c r="A16" s="26"/>
      <c r="B16" s="64"/>
      <c r="C16" s="31"/>
      <c r="D16" s="31"/>
    </row>
    <row r="17" spans="1:4" s="2" customFormat="1" x14ac:dyDescent="0.2">
      <c r="A17" s="26"/>
      <c r="B17" s="64"/>
      <c r="C17" s="31"/>
      <c r="D17" s="31"/>
    </row>
    <row r="18" spans="1:4" s="2" customFormat="1" x14ac:dyDescent="0.2">
      <c r="A18" s="26"/>
      <c r="B18" s="64"/>
      <c r="C18" s="31"/>
      <c r="D18" s="31"/>
    </row>
    <row r="19" spans="1:4" s="2" customFormat="1" x14ac:dyDescent="0.2">
      <c r="A19" s="26"/>
      <c r="B19" s="64"/>
      <c r="C19" s="31"/>
      <c r="D19" s="31"/>
    </row>
    <row r="20" spans="1:4" s="2" customFormat="1" ht="13.5" thickBot="1" x14ac:dyDescent="0.25">
      <c r="A20" s="26"/>
      <c r="B20" s="64"/>
      <c r="C20" s="31"/>
      <c r="D20" s="31"/>
    </row>
    <row r="21" spans="1:4" ht="15.75" x14ac:dyDescent="0.3">
      <c r="A21" s="26" t="s">
        <v>8</v>
      </c>
      <c r="B21" s="13" t="s">
        <v>9</v>
      </c>
      <c r="C21" s="27" t="s">
        <v>10</v>
      </c>
      <c r="D21" s="6">
        <v>2</v>
      </c>
    </row>
    <row r="22" spans="1:4" ht="15.75" x14ac:dyDescent="0.3">
      <c r="A22" s="26"/>
      <c r="B22" s="13" t="s">
        <v>11</v>
      </c>
      <c r="C22" s="27" t="s">
        <v>12</v>
      </c>
      <c r="D22" s="7">
        <v>2</v>
      </c>
    </row>
    <row r="23" spans="1:4" ht="15.75" x14ac:dyDescent="0.3">
      <c r="A23" s="26"/>
      <c r="B23" s="13" t="s">
        <v>13</v>
      </c>
      <c r="C23" s="28" t="s">
        <v>14</v>
      </c>
      <c r="D23" s="7">
        <v>120</v>
      </c>
    </row>
    <row r="24" spans="1:4" ht="15" thickBot="1" x14ac:dyDescent="0.25">
      <c r="A24" s="26"/>
      <c r="B24" s="13" t="s">
        <v>15</v>
      </c>
      <c r="C24" s="14" t="s">
        <v>16</v>
      </c>
      <c r="D24" s="56">
        <v>2.1</v>
      </c>
    </row>
    <row r="25" spans="1:4" x14ac:dyDescent="0.2">
      <c r="A25" s="26"/>
      <c r="B25" s="13"/>
      <c r="C25" s="14"/>
      <c r="D25" s="14"/>
    </row>
    <row r="26" spans="1:4" x14ac:dyDescent="0.2">
      <c r="A26" s="26" t="s">
        <v>17</v>
      </c>
      <c r="B26" s="13" t="s">
        <v>18</v>
      </c>
      <c r="C26" s="14"/>
      <c r="D26" s="14"/>
    </row>
    <row r="27" spans="1:4" x14ac:dyDescent="0.2">
      <c r="A27" s="26"/>
      <c r="B27" s="13" t="s">
        <v>19</v>
      </c>
      <c r="C27" s="14"/>
      <c r="D27" s="14"/>
    </row>
    <row r="28" spans="1:4" x14ac:dyDescent="0.2">
      <c r="A28" s="26"/>
      <c r="B28" s="13"/>
      <c r="C28" s="14"/>
      <c r="D28" s="31"/>
    </row>
    <row r="29" spans="1:4" x14ac:dyDescent="0.2">
      <c r="A29" s="26" t="s">
        <v>20</v>
      </c>
      <c r="B29" s="13"/>
      <c r="C29" s="14"/>
      <c r="D29" s="14"/>
    </row>
    <row r="30" spans="1:4" x14ac:dyDescent="0.2">
      <c r="A30" s="40"/>
      <c r="B30" s="13" t="s">
        <v>154</v>
      </c>
      <c r="C30" s="14"/>
      <c r="D30" s="14"/>
    </row>
    <row r="31" spans="1:4" x14ac:dyDescent="0.2">
      <c r="A31" s="26"/>
      <c r="B31" s="13" t="s">
        <v>21</v>
      </c>
      <c r="C31" s="14"/>
      <c r="D31" s="14"/>
    </row>
    <row r="32" spans="1:4" x14ac:dyDescent="0.2">
      <c r="A32" s="26"/>
      <c r="B32" s="52" t="s">
        <v>156</v>
      </c>
      <c r="C32" s="14"/>
      <c r="D32" s="14"/>
    </row>
    <row r="33" spans="1:4" x14ac:dyDescent="0.2">
      <c r="A33" s="26"/>
      <c r="B33" s="13" t="s">
        <v>22</v>
      </c>
      <c r="C33" s="14"/>
      <c r="D33" s="14"/>
    </row>
    <row r="34" spans="1:4" x14ac:dyDescent="0.2">
      <c r="A34" s="26"/>
      <c r="B34" s="32" t="str">
        <f>"- Lagerseite A, Y-Ebene"</f>
        <v>- Lagerseite A, Y-Ebene</v>
      </c>
      <c r="C34" s="14"/>
      <c r="D34" s="14"/>
    </row>
    <row r="35" spans="1:4" x14ac:dyDescent="0.2">
      <c r="A35" s="26"/>
      <c r="B35" s="33" t="s">
        <v>23</v>
      </c>
      <c r="C35" s="14"/>
      <c r="D35" s="14"/>
    </row>
    <row r="36" spans="1:4" x14ac:dyDescent="0.2">
      <c r="A36" s="26"/>
      <c r="B36" s="13"/>
      <c r="C36" s="14"/>
      <c r="D36" s="14"/>
    </row>
    <row r="37" spans="1:4" x14ac:dyDescent="0.2">
      <c r="A37" s="26"/>
      <c r="B37" s="13"/>
      <c r="C37" s="28"/>
      <c r="D37" s="14"/>
    </row>
    <row r="38" spans="1:4" x14ac:dyDescent="0.2">
      <c r="A38" s="26"/>
      <c r="B38" s="13"/>
      <c r="C38" s="14"/>
      <c r="D38" s="14"/>
    </row>
    <row r="39" spans="1:4" x14ac:dyDescent="0.2">
      <c r="A39" s="26"/>
      <c r="B39" s="13"/>
      <c r="C39" s="14"/>
      <c r="D39" s="14"/>
    </row>
    <row r="40" spans="1:4" x14ac:dyDescent="0.2">
      <c r="A40" s="26"/>
      <c r="B40" s="13"/>
      <c r="C40" s="14"/>
      <c r="D40" s="14"/>
    </row>
    <row r="41" spans="1:4" x14ac:dyDescent="0.2">
      <c r="A41" s="26"/>
      <c r="B41" s="13"/>
      <c r="C41" s="14"/>
      <c r="D41" s="14"/>
    </row>
    <row r="42" spans="1:4" x14ac:dyDescent="0.2">
      <c r="A42" s="26"/>
      <c r="B42" s="13"/>
      <c r="C42" s="14"/>
      <c r="D42" s="34"/>
    </row>
    <row r="43" spans="1:4" x14ac:dyDescent="0.2">
      <c r="A43" s="26"/>
      <c r="B43" s="13"/>
      <c r="C43" s="14"/>
      <c r="D43" s="34"/>
    </row>
    <row r="44" spans="1:4" x14ac:dyDescent="0.2">
      <c r="A44" s="26"/>
      <c r="B44" s="13"/>
      <c r="C44" s="14"/>
      <c r="D44" s="35"/>
    </row>
    <row r="45" spans="1:4" x14ac:dyDescent="0.2">
      <c r="A45" s="26"/>
      <c r="B45" s="13"/>
      <c r="C45" s="14"/>
      <c r="D45" s="34"/>
    </row>
    <row r="46" spans="1:4" x14ac:dyDescent="0.2">
      <c r="A46" s="26"/>
      <c r="B46" s="13"/>
      <c r="C46" s="14"/>
      <c r="D46" s="14"/>
    </row>
    <row r="47" spans="1:4" x14ac:dyDescent="0.2">
      <c r="A47" s="26"/>
      <c r="B47" s="32" t="str">
        <f>"- Lagerseite B, Y-Ebene                               "</f>
        <v xml:space="preserve">- Lagerseite B, Y-Ebene                               </v>
      </c>
      <c r="C47" s="14"/>
      <c r="D47" s="14"/>
    </row>
    <row r="48" spans="1:4" x14ac:dyDescent="0.2">
      <c r="A48" s="26"/>
      <c r="B48" s="33" t="s">
        <v>23</v>
      </c>
      <c r="C48" s="28"/>
      <c r="D48" s="34"/>
    </row>
    <row r="49" spans="1:4" x14ac:dyDescent="0.2">
      <c r="A49" s="26"/>
      <c r="B49" s="13"/>
      <c r="C49" s="14"/>
      <c r="D49" s="35"/>
    </row>
    <row r="50" spans="1:4" x14ac:dyDescent="0.2">
      <c r="A50" s="26"/>
      <c r="B50" s="13"/>
      <c r="C50" s="28"/>
      <c r="D50" s="36"/>
    </row>
    <row r="51" spans="1:4" x14ac:dyDescent="0.2">
      <c r="A51" s="26"/>
      <c r="B51" s="13"/>
      <c r="C51" s="14"/>
      <c r="D51" s="14"/>
    </row>
    <row r="52" spans="1:4" x14ac:dyDescent="0.2">
      <c r="A52" s="26"/>
      <c r="B52" s="37"/>
      <c r="C52" s="14"/>
      <c r="D52" s="14"/>
    </row>
    <row r="53" spans="1:4" x14ac:dyDescent="0.2">
      <c r="A53" s="26"/>
      <c r="B53" s="13"/>
      <c r="C53" s="14"/>
      <c r="D53" s="14"/>
    </row>
    <row r="54" spans="1:4" x14ac:dyDescent="0.2">
      <c r="A54" s="26"/>
      <c r="B54" s="13"/>
      <c r="C54" s="14"/>
      <c r="D54" s="14"/>
    </row>
    <row r="55" spans="1:4" x14ac:dyDescent="0.2">
      <c r="A55" s="26"/>
      <c r="B55" s="13"/>
      <c r="C55" s="14"/>
      <c r="D55" s="14"/>
    </row>
    <row r="56" spans="1:4" x14ac:dyDescent="0.2">
      <c r="A56" s="26"/>
      <c r="B56" s="13"/>
      <c r="C56" s="14"/>
      <c r="D56" s="14"/>
    </row>
    <row r="57" spans="1:4" x14ac:dyDescent="0.2">
      <c r="A57" s="26"/>
      <c r="B57" s="13"/>
      <c r="C57" s="14"/>
      <c r="D57" s="14"/>
    </row>
    <row r="58" spans="1:4" x14ac:dyDescent="0.2">
      <c r="A58" s="26"/>
      <c r="B58" s="13"/>
      <c r="C58" s="14"/>
      <c r="D58" s="14"/>
    </row>
    <row r="59" spans="1:4" x14ac:dyDescent="0.2">
      <c r="A59" s="26"/>
      <c r="B59" s="13"/>
      <c r="C59" s="14"/>
      <c r="D59" s="14"/>
    </row>
    <row r="60" spans="1:4" x14ac:dyDescent="0.2">
      <c r="A60" s="26"/>
      <c r="B60" s="38" t="str">
        <f>"-Lagerseite A, X-Ebene"</f>
        <v>-Lagerseite A, X-Ebene</v>
      </c>
      <c r="C60" s="14"/>
      <c r="D60" s="14"/>
    </row>
    <row r="61" spans="1:4" x14ac:dyDescent="0.2">
      <c r="A61" s="26"/>
      <c r="B61" s="33" t="s">
        <v>23</v>
      </c>
      <c r="C61" s="14"/>
      <c r="D61" s="14"/>
    </row>
    <row r="62" spans="1:4" x14ac:dyDescent="0.2">
      <c r="A62" s="26"/>
      <c r="B62" s="13"/>
      <c r="C62" s="14"/>
      <c r="D62" s="14"/>
    </row>
    <row r="63" spans="1:4" x14ac:dyDescent="0.2">
      <c r="A63" s="26"/>
      <c r="B63" s="39"/>
      <c r="C63" s="14"/>
      <c r="D63" s="14"/>
    </row>
    <row r="64" spans="1:4" x14ac:dyDescent="0.2">
      <c r="A64" s="26"/>
      <c r="B64" s="13"/>
      <c r="C64" s="14"/>
      <c r="D64" s="14"/>
    </row>
    <row r="65" spans="1:4" x14ac:dyDescent="0.2">
      <c r="A65" s="26"/>
      <c r="B65" s="13"/>
      <c r="C65" s="14"/>
      <c r="D65" s="14"/>
    </row>
    <row r="66" spans="1:4" x14ac:dyDescent="0.2">
      <c r="A66" s="26"/>
      <c r="B66" s="13"/>
      <c r="C66" s="14"/>
      <c r="D66" s="14"/>
    </row>
    <row r="67" spans="1:4" x14ac:dyDescent="0.2">
      <c r="A67" s="26"/>
      <c r="B67" s="13"/>
      <c r="C67" s="14"/>
      <c r="D67" s="14"/>
    </row>
    <row r="68" spans="1:4" x14ac:dyDescent="0.2">
      <c r="A68" s="26"/>
      <c r="B68" s="13"/>
      <c r="C68" s="14"/>
      <c r="D68" s="14"/>
    </row>
    <row r="69" spans="1:4" x14ac:dyDescent="0.2">
      <c r="A69" s="26"/>
      <c r="B69" s="13"/>
      <c r="C69" s="14"/>
      <c r="D69" s="14"/>
    </row>
    <row r="70" spans="1:4" x14ac:dyDescent="0.2">
      <c r="A70" s="26"/>
      <c r="B70" s="13"/>
      <c r="C70" s="14"/>
      <c r="D70" s="14"/>
    </row>
    <row r="71" spans="1:4" x14ac:dyDescent="0.2">
      <c r="A71" s="26"/>
      <c r="B71" s="13"/>
      <c r="C71" s="14"/>
      <c r="D71" s="14"/>
    </row>
    <row r="72" spans="1:4" x14ac:dyDescent="0.2">
      <c r="A72" s="26"/>
      <c r="B72" s="13"/>
      <c r="C72" s="14"/>
      <c r="D72" s="14"/>
    </row>
    <row r="73" spans="1:4" x14ac:dyDescent="0.2">
      <c r="A73" s="26"/>
      <c r="B73" s="38" t="str">
        <f>"- Lagerseite B, X-Ebene"</f>
        <v>- Lagerseite B, X-Ebene</v>
      </c>
      <c r="C73" s="14"/>
      <c r="D73" s="14"/>
    </row>
    <row r="74" spans="1:4" x14ac:dyDescent="0.2">
      <c r="A74" s="26"/>
      <c r="B74" s="33" t="s">
        <v>23</v>
      </c>
      <c r="C74" s="14"/>
      <c r="D74" s="14"/>
    </row>
    <row r="75" spans="1:4" x14ac:dyDescent="0.2">
      <c r="A75" s="26"/>
      <c r="B75" s="13"/>
      <c r="C75" s="14"/>
      <c r="D75" s="14"/>
    </row>
    <row r="76" spans="1:4" x14ac:dyDescent="0.2">
      <c r="A76" s="26"/>
      <c r="B76" s="13"/>
      <c r="C76" s="14"/>
      <c r="D76" s="14"/>
    </row>
    <row r="77" spans="1:4" x14ac:dyDescent="0.2">
      <c r="A77" s="26"/>
      <c r="B77" s="13"/>
      <c r="C77" s="14"/>
      <c r="D77" s="14"/>
    </row>
    <row r="78" spans="1:4" x14ac:dyDescent="0.2">
      <c r="A78" s="26"/>
      <c r="B78" s="13"/>
      <c r="C78" s="14"/>
      <c r="D78" s="14"/>
    </row>
    <row r="79" spans="1:4" x14ac:dyDescent="0.2">
      <c r="A79" s="26"/>
      <c r="B79" s="13"/>
      <c r="C79" s="14"/>
      <c r="D79" s="14"/>
    </row>
    <row r="80" spans="1:4" x14ac:dyDescent="0.2">
      <c r="A80" s="26"/>
      <c r="B80" s="13"/>
      <c r="C80" s="14"/>
      <c r="D80" s="14"/>
    </row>
    <row r="81" spans="1:4" x14ac:dyDescent="0.2">
      <c r="A81" s="26"/>
      <c r="B81" s="13"/>
      <c r="C81" s="14"/>
      <c r="D81" s="14"/>
    </row>
    <row r="82" spans="1:4" x14ac:dyDescent="0.2">
      <c r="A82" s="26"/>
      <c r="B82" s="13"/>
      <c r="C82" s="14"/>
      <c r="D82" s="14"/>
    </row>
    <row r="83" spans="1:4" x14ac:dyDescent="0.2">
      <c r="A83" s="26"/>
      <c r="B83" s="13"/>
      <c r="C83" s="14"/>
      <c r="D83" s="14"/>
    </row>
    <row r="84" spans="1:4" x14ac:dyDescent="0.2">
      <c r="A84" s="26"/>
      <c r="B84" s="13"/>
      <c r="C84" s="14"/>
      <c r="D84" s="14"/>
    </row>
    <row r="85" spans="1:4" x14ac:dyDescent="0.2">
      <c r="A85" s="26"/>
      <c r="B85" s="13"/>
      <c r="C85" s="14"/>
      <c r="D85" s="14"/>
    </row>
    <row r="86" spans="1:4" x14ac:dyDescent="0.2">
      <c r="A86" s="26"/>
      <c r="B86" s="32" t="s">
        <v>24</v>
      </c>
      <c r="C86" s="14"/>
      <c r="D86" s="14"/>
    </row>
    <row r="87" spans="1:4" ht="15.75" x14ac:dyDescent="0.3">
      <c r="A87" s="40" t="s">
        <v>25</v>
      </c>
      <c r="B87" s="13" t="s">
        <v>26</v>
      </c>
      <c r="C87" s="27" t="s">
        <v>27</v>
      </c>
      <c r="D87" s="41">
        <f>'Y- Ebene'!D21/(2*'Welle 60'!D24*10^2)*('Y- Ebene'!D14^2/(0.05*'Y- Ebene'!D17^4)+('Y- Ebene'!D15^2-'Y- Ebene'!D14^2)/(0.05*'Y- Ebene'!D18^4)+('Y- Ebene'!D16^2-'Y- Ebene'!D15^2)/(0.05*'Y- Ebene'!D19^4))*10^3</f>
        <v>0.58315579538645113</v>
      </c>
    </row>
    <row r="88" spans="1:4" ht="15.75" x14ac:dyDescent="0.3">
      <c r="A88" s="40" t="s">
        <v>28</v>
      </c>
      <c r="B88" s="13" t="s">
        <v>29</v>
      </c>
      <c r="C88" s="14" t="s">
        <v>30</v>
      </c>
      <c r="D88" s="41">
        <f>'Y- Ebene'!D21/(3*'Welle 60'!D24*10^2)*('Y- Ebene'!D14^3/(0.05*'Y- Ebene'!D17^4)+('Y- Ebene'!D15^3-'Y- Ebene'!D14^3)/(0.05*'Y- Ebene'!D18^4)+('Y- Ebene'!D16^3-'Y- Ebene'!D15^3)/(0.05*'Y- Ebene'!D19^4))*10^2</f>
        <v>5.4532183054629213</v>
      </c>
    </row>
    <row r="89" spans="1:4" x14ac:dyDescent="0.2">
      <c r="A89" s="26"/>
      <c r="B89" s="13"/>
      <c r="C89" s="14"/>
      <c r="D89" s="14"/>
    </row>
    <row r="90" spans="1:4" ht="15.75" x14ac:dyDescent="0.3">
      <c r="A90" s="40" t="s">
        <v>25</v>
      </c>
      <c r="B90" s="13" t="s">
        <v>26</v>
      </c>
      <c r="C90" s="27" t="s">
        <v>31</v>
      </c>
      <c r="D90" s="41">
        <f>'Y- Ebene'!D48/(2*'Welle 60'!D24*10^2)*('Y- Ebene'!D40^2/(0.05*'Y- Ebene'!D45^4)+('Y- Ebene'!D41^2-'Y- Ebene'!D40^2)/(0.05*'Y- Ebene'!D46^4))*10^3</f>
        <v>-0.14352770429159317</v>
      </c>
    </row>
    <row r="91" spans="1:4" ht="15.75" x14ac:dyDescent="0.3">
      <c r="A91" s="40" t="s">
        <v>32</v>
      </c>
      <c r="B91" s="13" t="s">
        <v>5</v>
      </c>
      <c r="C91" s="14" t="s">
        <v>33</v>
      </c>
      <c r="D91" s="41">
        <f>('Y- Ebene'!D48/(3*'Welle 60'!D24*10^2)*('Y- Ebene'!D40^3/(0.05*'Y- Ebene'!D45^4)+('Y- Ebene'!D41^3-'Y- Ebene'!D40^3)/(0.05*'Y- Ebene'!D46^4))+'Welle 60'!D90*10^(-3)*'Y- Ebene'!D42)*10^2</f>
        <v>-1.6984111674505191</v>
      </c>
    </row>
    <row r="92" spans="1:4" x14ac:dyDescent="0.2">
      <c r="A92" s="26"/>
      <c r="B92" s="13"/>
      <c r="C92" s="14"/>
      <c r="D92" s="14"/>
    </row>
    <row r="93" spans="1:4" ht="15.75" x14ac:dyDescent="0.3">
      <c r="A93" s="40" t="s">
        <v>25</v>
      </c>
      <c r="B93" s="13" t="s">
        <v>34</v>
      </c>
      <c r="C93" s="27" t="s">
        <v>35</v>
      </c>
      <c r="D93" s="41">
        <f>'Y- Ebene'!D75/(2*'Welle 60'!D24*10^2)*(('Y- Ebene'!D66^2-'Y- Ebene'!D69^2)/(0.05*'Y- Ebene'!D71^4)+('Y- Ebene'!D67^2-'Y- Ebene'!D66^2)/(0.05*'Y- Ebene'!D72^4)+('Y- Ebene'!D68^2-'Y- Ebene'!D67^2)/(0.05*'Y- Ebene'!D73^4))*10^3</f>
        <v>0</v>
      </c>
    </row>
    <row r="94" spans="1:4" ht="15.75" x14ac:dyDescent="0.3">
      <c r="A94" s="40" t="s">
        <v>36</v>
      </c>
      <c r="B94" s="13" t="s">
        <v>5</v>
      </c>
      <c r="C94" s="14" t="s">
        <v>37</v>
      </c>
      <c r="D94" s="41">
        <f>('Y- Ebene'!D75/(3*'Welle 60'!D24*10^2)*(('Y- Ebene'!D66^3-'Y- Ebene'!D69^3)/(0.05*'Y- Ebene'!D71^4)+('Y- Ebene'!D67^3-'Y- Ebene'!D66^3)/(0.05*'Y- Ebene'!D72^4)+('Y- Ebene'!D68^3-'Y- Ebene'!D67^3)/(0.05*'Y- Ebene'!D73^4))-'Welle 60'!D93*10^(-3)*'Y- Ebene'!D69)*10^2</f>
        <v>0</v>
      </c>
    </row>
    <row r="95" spans="1:4" x14ac:dyDescent="0.2">
      <c r="A95" s="26"/>
      <c r="B95" s="13"/>
      <c r="C95" s="14"/>
      <c r="D95" s="14"/>
    </row>
    <row r="96" spans="1:4" ht="15.75" x14ac:dyDescent="0.3">
      <c r="A96" s="40" t="s">
        <v>25</v>
      </c>
      <c r="B96" s="13" t="s">
        <v>26</v>
      </c>
      <c r="C96" s="27" t="s">
        <v>38</v>
      </c>
      <c r="D96" s="41">
        <f>'Y- Ebene'!D103*'Y- Ebene'!D98/('Welle 60'!D24*10^2)*('Y- Ebene'!D94/(0.05*'Y- Ebene'!D100^4)+('Y- Ebene'!D95-'Y- Ebene'!D94)/(0.05*'Y- Ebene'!D101^4))*10^3</f>
        <v>0</v>
      </c>
    </row>
    <row r="97" spans="1:5" ht="15.75" x14ac:dyDescent="0.3">
      <c r="A97" s="40" t="s">
        <v>39</v>
      </c>
      <c r="B97" s="13" t="s">
        <v>29</v>
      </c>
      <c r="C97" s="28" t="s">
        <v>40</v>
      </c>
      <c r="D97" s="41">
        <f>('Y- Ebene'!D103*'Y- Ebene'!D98/(2*'Welle 60'!D24*10^2)*('Y- Ebene'!D94^2/(0.05*'Y- Ebene'!D100^4)+('Y- Ebene'!D95^2-'Y- Ebene'!D94^2)/(0.05*'Y- Ebene'!D101^4))+'Welle 60'!D96*10^(-3)*'Y- Ebene'!D96)*10^2</f>
        <v>0</v>
      </c>
    </row>
    <row r="98" spans="1:5" x14ac:dyDescent="0.2">
      <c r="A98" s="26"/>
      <c r="B98" s="13"/>
      <c r="C98" s="14"/>
      <c r="D98" s="14"/>
    </row>
    <row r="99" spans="1:5" ht="15.75" x14ac:dyDescent="0.3">
      <c r="A99" s="40" t="s">
        <v>25</v>
      </c>
      <c r="B99" s="13" t="s">
        <v>26</v>
      </c>
      <c r="C99" s="27" t="s">
        <v>35</v>
      </c>
      <c r="D99" s="41">
        <f>'Y- Ebene'!D132*'Y- Ebene'!D127/('Welle 60'!D24*10^2)*(('Y- Ebene'!D122-'Y- Ebene'!D125)/(0.05*'Y- Ebene'!D128^4)+('Y- Ebene'!D123-'Y- Ebene'!D122)/(0.05*'Y- Ebene'!D129^4)+('Y- Ebene'!D124-'Y- Ebene'!D123)/(0.05*'Y- Ebene'!D130^4))*10^3</f>
        <v>0</v>
      </c>
    </row>
    <row r="100" spans="1:5" ht="15.75" x14ac:dyDescent="0.3">
      <c r="A100" s="40" t="s">
        <v>41</v>
      </c>
      <c r="B100" s="13" t="s">
        <v>29</v>
      </c>
      <c r="C100" s="14" t="s">
        <v>37</v>
      </c>
      <c r="D100" s="41">
        <f>('Y- Ebene'!D132*'Y- Ebene'!D127/(2*'Welle 60'!D24*10^2)*(('Y- Ebene'!D122^2-'Y- Ebene'!D125^2)/(0.05*'Y- Ebene'!D128^4)+('Y- Ebene'!D123^2-'Y- Ebene'!D122^2)/(0.05*'Y- Ebene'!D129^4)+('Y- Ebene'!D124^2-'Y- Ebene'!D123^2)/(0.05*'Y- Ebene'!D130^4))-'Welle 60'!D99*10^(-3)*'Y- Ebene'!D125)*10^2</f>
        <v>0</v>
      </c>
    </row>
    <row r="101" spans="1:5" x14ac:dyDescent="0.2">
      <c r="A101" s="40"/>
      <c r="B101" s="13"/>
      <c r="C101" s="14"/>
      <c r="D101" s="14"/>
    </row>
    <row r="102" spans="1:5" x14ac:dyDescent="0.2">
      <c r="A102" s="26"/>
      <c r="B102" s="13" t="s">
        <v>42</v>
      </c>
      <c r="C102" s="14"/>
      <c r="D102" s="14"/>
    </row>
    <row r="103" spans="1:5" ht="15.75" x14ac:dyDescent="0.3">
      <c r="A103" s="26"/>
      <c r="B103" s="13" t="s">
        <v>43</v>
      </c>
      <c r="C103" s="27" t="s">
        <v>44</v>
      </c>
      <c r="D103" s="41">
        <f>D87+D90+D93+D96+D99</f>
        <v>0.43962809109485795</v>
      </c>
    </row>
    <row r="104" spans="1:5" ht="15.75" x14ac:dyDescent="0.3">
      <c r="A104" s="26"/>
      <c r="B104" s="13" t="s">
        <v>45</v>
      </c>
      <c r="C104" s="14" t="s">
        <v>46</v>
      </c>
      <c r="D104" s="41">
        <f>D88+D91+D94+D97+D100</f>
        <v>3.754807138012402</v>
      </c>
    </row>
    <row r="105" spans="1:5" x14ac:dyDescent="0.2">
      <c r="A105" s="26"/>
      <c r="B105" s="13"/>
      <c r="C105" s="14"/>
      <c r="D105" s="14"/>
    </row>
    <row r="106" spans="1:5" x14ac:dyDescent="0.2">
      <c r="A106" s="26"/>
      <c r="B106" s="32" t="s">
        <v>47</v>
      </c>
      <c r="C106" s="14"/>
      <c r="D106" s="14"/>
      <c r="E106" s="3"/>
    </row>
    <row r="107" spans="1:5" ht="15.75" x14ac:dyDescent="0.3">
      <c r="A107" s="40" t="s">
        <v>25</v>
      </c>
      <c r="B107" s="13" t="s">
        <v>26</v>
      </c>
      <c r="C107" s="27" t="s">
        <v>48</v>
      </c>
      <c r="D107" s="41">
        <f>'Y- Ebene'!D157/(2*'Welle 60'!D24*10^2)*('Y- Ebene'!D150^2/(0.05*'Y- Ebene'!D153^4)+('Y- Ebene'!D151^2-'Y- Ebene'!D150^2)/(0.05*'Y- Ebene'!D154^4)+('Y- Ebene'!D152^2-'Y- Ebene'!D151^2)/(0.05*'Y- Ebene'!D155^4))*10^3</f>
        <v>0.48430850215451737</v>
      </c>
      <c r="E107" s="49"/>
    </row>
    <row r="108" spans="1:5" ht="15.75" x14ac:dyDescent="0.3">
      <c r="A108" s="40" t="s">
        <v>28</v>
      </c>
      <c r="B108" s="13" t="s">
        <v>29</v>
      </c>
      <c r="C108" s="14" t="s">
        <v>49</v>
      </c>
      <c r="D108" s="41">
        <f>'Y- Ebene'!D157/(3*'Welle 60'!D24*10^2)*('Y- Ebene'!D150^3/(0.05*'Y- Ebene'!D153^4)+('Y- Ebene'!D151^3-'Y- Ebene'!D150^3)/(0.05*'Y- Ebene'!D154^4)+('Y- Ebene'!D152^3-'Y- Ebene'!D151^3)/(0.05*'Y- Ebene'!D155^4))*10^2</f>
        <v>4.5288754914802043</v>
      </c>
      <c r="E108" s="3"/>
    </row>
    <row r="109" spans="1:5" x14ac:dyDescent="0.2">
      <c r="A109" s="26"/>
      <c r="B109" s="13"/>
      <c r="C109" s="14"/>
      <c r="D109" s="14"/>
    </row>
    <row r="110" spans="1:5" ht="15.75" x14ac:dyDescent="0.3">
      <c r="A110" s="40" t="s">
        <v>25</v>
      </c>
      <c r="B110" s="13" t="s">
        <v>26</v>
      </c>
      <c r="C110" s="27" t="s">
        <v>50</v>
      </c>
      <c r="D110" s="41">
        <f>'Y- Ebene'!D184/(2*'Welle 60'!D24*10^2)*('Y- Ebene'!D176^2/(0.05*'Y- Ebene'!D181^4)+('Y- Ebene'!D177^2-'Y- Ebene'!D176^2)/(0.05*'Y- Ebene'!D182^4))*10^3</f>
        <v>-0.14352770429159317</v>
      </c>
    </row>
    <row r="111" spans="1:5" ht="15.75" x14ac:dyDescent="0.3">
      <c r="A111" s="40" t="s">
        <v>32</v>
      </c>
      <c r="B111" s="13" t="s">
        <v>5</v>
      </c>
      <c r="C111" s="14" t="s">
        <v>51</v>
      </c>
      <c r="D111" s="41">
        <f>('Y- Ebene'!D184/(3*'Welle 60'!D24*10^2)*('Y- Ebene'!D176^3/(0.05*'Y- Ebene'!D181^4)+('Y- Ebene'!D177^3-'Y- Ebene'!D176^3)/(0.05*'Y- Ebene'!D182^4))+'Welle 60'!D110*10^(-3)*'Y- Ebene'!D178)*10^2</f>
        <v>-1.6984111674505191</v>
      </c>
    </row>
    <row r="112" spans="1:5" x14ac:dyDescent="0.2">
      <c r="A112" s="26"/>
      <c r="B112" s="13"/>
      <c r="C112" s="14"/>
      <c r="D112" s="14"/>
    </row>
    <row r="113" spans="1:4" ht="15.75" x14ac:dyDescent="0.3">
      <c r="A113" s="40" t="s">
        <v>25</v>
      </c>
      <c r="B113" s="13" t="s">
        <v>34</v>
      </c>
      <c r="C113" s="27" t="s">
        <v>52</v>
      </c>
      <c r="D113" s="41">
        <f>'Y- Ebene'!D212/(2*'Welle 60'!D24*10^2)*(('Y- Ebene'!D203^2-'Y- Ebene'!D206^2)/(0.05*'Y- Ebene'!D208^4)+('Y- Ebene'!D204^2-'Y- Ebene'!D203^2)/(0.05*'Y- Ebene'!D209^4)+('Y- Ebene'!D205^2-'Y- Ebene'!D204^2)/(0.05*'Y- Ebene'!D210^4))*10^3</f>
        <v>0.73487785763659252</v>
      </c>
    </row>
    <row r="114" spans="1:4" ht="15.75" x14ac:dyDescent="0.3">
      <c r="A114" s="40" t="s">
        <v>36</v>
      </c>
      <c r="B114" s="13" t="s">
        <v>5</v>
      </c>
      <c r="C114" s="14" t="s">
        <v>53</v>
      </c>
      <c r="D114" s="41">
        <f>('Y- Ebene'!D212/(3*'Welle 60'!D24*10^2)*(('Y- Ebene'!D203^3-'Y- Ebene'!D206^3)/(0.05*'Y- Ebene'!D208^4)+('Y- Ebene'!D204^3-'Y- Ebene'!D203^3)/(0.05*'Y- Ebene'!D209^4)+('Y- Ebene'!D205^3-'Y- Ebene'!D204^3)/(0.05*'Y- Ebene'!D210^4))-'Welle 60'!D113*10^(-3)*'Y- Ebene'!D206)*10^2</f>
        <v>5.8525269637819584</v>
      </c>
    </row>
    <row r="115" spans="1:4" x14ac:dyDescent="0.2">
      <c r="A115" s="26"/>
      <c r="B115" s="13"/>
      <c r="C115" s="14"/>
      <c r="D115" s="14"/>
    </row>
    <row r="116" spans="1:4" ht="15.75" x14ac:dyDescent="0.3">
      <c r="A116" s="40" t="s">
        <v>25</v>
      </c>
      <c r="B116" s="13" t="s">
        <v>26</v>
      </c>
      <c r="C116" s="27" t="s">
        <v>54</v>
      </c>
      <c r="D116" s="41">
        <f>'Y- Ebene'!D240*'Y- Ebene'!D235/('Welle 60'!D24*10^2)*('Y- Ebene'!D231/(0.05*'Y- Ebene'!D237^4)+('Y- Ebene'!D232-'Y- Ebene'!D231)/(0.05*'Y- Ebene'!D238^4))*10^3</f>
        <v>0</v>
      </c>
    </row>
    <row r="117" spans="1:4" ht="15.75" x14ac:dyDescent="0.3">
      <c r="A117" s="40" t="s">
        <v>39</v>
      </c>
      <c r="B117" s="13" t="s">
        <v>29</v>
      </c>
      <c r="C117" s="28" t="s">
        <v>55</v>
      </c>
      <c r="D117" s="41">
        <f>('Y- Ebene'!D240*'Y- Ebene'!D235/(2*'Welle 60'!D24*10^2)*('Y- Ebene'!D231^2/(0.05*'Y- Ebene'!D237^4)+('Y- Ebene'!D232^2-'Y- Ebene'!D231^2)/(0.05*'Y- Ebene'!D238^4))+'Welle 60'!D116*10^(-3)*'Y- Ebene'!D233)*10^2</f>
        <v>0</v>
      </c>
    </row>
    <row r="118" spans="1:4" x14ac:dyDescent="0.2">
      <c r="A118" s="40"/>
      <c r="B118" s="13"/>
      <c r="C118" s="28"/>
      <c r="D118" s="41"/>
    </row>
    <row r="119" spans="1:4" x14ac:dyDescent="0.2">
      <c r="A119" s="26"/>
      <c r="B119" s="13"/>
      <c r="C119" s="14"/>
      <c r="D119" s="14"/>
    </row>
    <row r="120" spans="1:4" ht="15.75" x14ac:dyDescent="0.3">
      <c r="A120" s="40" t="s">
        <v>25</v>
      </c>
      <c r="B120" s="13" t="s">
        <v>26</v>
      </c>
      <c r="C120" s="27" t="s">
        <v>52</v>
      </c>
      <c r="D120" s="41">
        <f>'Y- Ebene'!D268*'Y- Ebene'!D263/('Welle 60'!D24*10^2)*(('Y- Ebene'!D258-'Y- Ebene'!D261)/(0.05*'Y- Ebene'!D264^4)+('Y- Ebene'!D259-'Y- Ebene'!D258)/(0.05*'Y- Ebene'!D265^4)+('Y- Ebene'!D260-'Y- Ebene'!D259)/(0.05*'Y- Ebene'!D266^4))*10^3</f>
        <v>0</v>
      </c>
    </row>
    <row r="121" spans="1:4" ht="15.75" x14ac:dyDescent="0.3">
      <c r="A121" s="40" t="s">
        <v>41</v>
      </c>
      <c r="B121" s="13" t="s">
        <v>29</v>
      </c>
      <c r="C121" s="14" t="s">
        <v>53</v>
      </c>
      <c r="D121" s="41">
        <f>('Y- Ebene'!D268*'Y- Ebene'!D263/(2*'Welle 60'!D24*10^2)*(('Y- Ebene'!D258^2-'Y- Ebene'!D261^2)/(0.05*'Y- Ebene'!D264^4)+('Y- Ebene'!D259^2-'Y- Ebene'!D258^2)/(0.05*'Y- Ebene'!D265^4)+('Y- Ebene'!D260^2-'Y- Ebene'!D259^2)/(0.05*'Y- Ebene'!D266^4))-'Welle 60'!D120*10^(-3)*'Y- Ebene'!D261)*10^2</f>
        <v>0</v>
      </c>
    </row>
    <row r="122" spans="1:4" x14ac:dyDescent="0.2">
      <c r="A122" s="40"/>
      <c r="B122" s="13"/>
      <c r="C122" s="14"/>
      <c r="D122" s="14"/>
    </row>
    <row r="123" spans="1:4" x14ac:dyDescent="0.2">
      <c r="A123" s="26"/>
      <c r="B123" s="13" t="s">
        <v>42</v>
      </c>
      <c r="C123" s="14"/>
      <c r="D123" s="14"/>
    </row>
    <row r="124" spans="1:4" ht="15.75" x14ac:dyDescent="0.3">
      <c r="A124" s="26"/>
      <c r="B124" s="13" t="s">
        <v>56</v>
      </c>
      <c r="C124" s="27" t="s">
        <v>57</v>
      </c>
      <c r="D124" s="41">
        <f>D107+D110+D113+D116+D120</f>
        <v>1.0756586554995167</v>
      </c>
    </row>
    <row r="125" spans="1:4" ht="15.75" x14ac:dyDescent="0.3">
      <c r="A125" s="26"/>
      <c r="B125" s="13" t="s">
        <v>58</v>
      </c>
      <c r="C125" s="14" t="s">
        <v>59</v>
      </c>
      <c r="D125" s="41">
        <f>D108+D111+D114+D117+D121</f>
        <v>8.6829912878116424</v>
      </c>
    </row>
    <row r="126" spans="1:4" x14ac:dyDescent="0.2">
      <c r="A126" s="26"/>
      <c r="B126" s="13"/>
      <c r="C126" s="14"/>
      <c r="D126" s="14"/>
    </row>
    <row r="127" spans="1:4" x14ac:dyDescent="0.2">
      <c r="A127" s="26"/>
      <c r="B127" s="54" t="s">
        <v>158</v>
      </c>
      <c r="C127" s="13"/>
      <c r="D127" s="14"/>
    </row>
    <row r="128" spans="1:4" ht="15.75" x14ac:dyDescent="0.3">
      <c r="A128" s="26"/>
      <c r="B128" s="13" t="s">
        <v>60</v>
      </c>
      <c r="C128" s="27" t="s">
        <v>61</v>
      </c>
      <c r="D128" s="9">
        <f>(D104-D125)*10^(-2)/('Y- Ebene'!D16+'Y- Ebene'!D152)*10^3</f>
        <v>-0.16993738447583587</v>
      </c>
    </row>
    <row r="129" spans="1:4" ht="15.75" x14ac:dyDescent="0.3">
      <c r="A129" s="26"/>
      <c r="B129" s="13" t="s">
        <v>62</v>
      </c>
      <c r="C129" s="27" t="s">
        <v>63</v>
      </c>
      <c r="D129" s="9">
        <f>D103-D128</f>
        <v>0.60956547557069385</v>
      </c>
    </row>
    <row r="130" spans="1:4" ht="15.75" x14ac:dyDescent="0.3">
      <c r="A130" s="26"/>
      <c r="B130" s="13" t="s">
        <v>64</v>
      </c>
      <c r="C130" s="27" t="s">
        <v>65</v>
      </c>
      <c r="D130" s="9">
        <f>D124+D128</f>
        <v>0.90572127102368083</v>
      </c>
    </row>
    <row r="131" spans="1:4" ht="15.75" x14ac:dyDescent="0.3">
      <c r="A131" s="26"/>
      <c r="B131" s="13" t="s">
        <v>66</v>
      </c>
      <c r="C131" s="14" t="s">
        <v>67</v>
      </c>
      <c r="D131" s="9">
        <f>D104-D128*'Y- Ebene'!D16/10</f>
        <v>6.2188992129120226</v>
      </c>
    </row>
    <row r="132" spans="1:4" x14ac:dyDescent="0.2">
      <c r="A132" s="26"/>
      <c r="B132" s="13"/>
      <c r="C132" s="14"/>
      <c r="D132" s="14"/>
    </row>
    <row r="133" spans="1:4" x14ac:dyDescent="0.2">
      <c r="A133" s="26"/>
      <c r="B133" s="13"/>
      <c r="C133" s="14"/>
      <c r="D133" s="14"/>
    </row>
    <row r="134" spans="1:4" x14ac:dyDescent="0.2">
      <c r="A134" s="26"/>
      <c r="B134" s="38" t="s">
        <v>68</v>
      </c>
      <c r="C134" s="14"/>
      <c r="D134" s="14"/>
    </row>
    <row r="135" spans="1:4" ht="15.75" x14ac:dyDescent="0.3">
      <c r="A135" s="40" t="s">
        <v>25</v>
      </c>
      <c r="B135" s="13" t="s">
        <v>26</v>
      </c>
      <c r="C135" s="27" t="s">
        <v>69</v>
      </c>
      <c r="D135" s="41">
        <f>'X- Ebene'!D21/(2*'Welle 60'!D24*10^2)*('X- Ebene'!D14^2/(0.05*'X- Ebene'!D17^4)+('X- Ebene'!D15^2-'X- Ebene'!D14^2)/(0.05*'X- Ebene'!D18^4)+('X- Ebene'!D16^2-'X- Ebene'!D15^2)/(0.05*'X- Ebene'!D19^4))*10^3</f>
        <v>-6.8142662619227926E-2</v>
      </c>
    </row>
    <row r="136" spans="1:4" ht="15.75" x14ac:dyDescent="0.3">
      <c r="A136" s="40" t="s">
        <v>28</v>
      </c>
      <c r="B136" s="13" t="s">
        <v>29</v>
      </c>
      <c r="C136" s="14" t="s">
        <v>70</v>
      </c>
      <c r="D136" s="41">
        <f>'X- Ebene'!D21/(3*'Welle 60'!D24*10^2)*('X- Ebene'!D14^3/(0.05*'X- Ebene'!D17^4)+('X- Ebene'!D15^3-'X- Ebene'!D14^3)/(0.05*'X- Ebene'!D18^4)+('X- Ebene'!D16^3-'X- Ebene'!D15^3)/(0.05*'X- Ebene'!D19^4))*10^2</f>
        <v>-0.63721704923107991</v>
      </c>
    </row>
    <row r="137" spans="1:4" x14ac:dyDescent="0.2">
      <c r="A137" s="26"/>
      <c r="B137" s="13"/>
      <c r="C137" s="14"/>
      <c r="D137" s="14"/>
    </row>
    <row r="138" spans="1:4" ht="15.75" x14ac:dyDescent="0.3">
      <c r="A138" s="40" t="s">
        <v>25</v>
      </c>
      <c r="B138" s="13" t="s">
        <v>26</v>
      </c>
      <c r="C138" s="27" t="s">
        <v>71</v>
      </c>
      <c r="D138" s="41">
        <f>'X- Ebene'!D48/(2*'Welle 60'!D24*10^2)*('X- Ebene'!D40^2/(0.05*'X- Ebene'!D45^4)+('X- Ebene'!D41^2-'X- Ebene'!D40^2)/(0.05*'X- Ebene'!D46^4))*10^3</f>
        <v>-4.1910089653145206E-3</v>
      </c>
    </row>
    <row r="139" spans="1:4" ht="15.75" x14ac:dyDescent="0.3">
      <c r="A139" s="40" t="s">
        <v>32</v>
      </c>
      <c r="B139" s="13" t="s">
        <v>5</v>
      </c>
      <c r="C139" s="14" t="s">
        <v>72</v>
      </c>
      <c r="D139" s="41">
        <f>('X- Ebene'!D48/(3*'Welle 60'!D24*10^2)*('X- Ebene'!D40^3/(0.05*'X- Ebene'!D45^4)+('X- Ebene'!D41^3-'X- Ebene'!D40^3)/(0.05*'X- Ebene'!D46^4))+'Welle 60'!D138*10^(-3)*'X- Ebene'!D42)*10^2</f>
        <v>-4.959360608955516E-2</v>
      </c>
    </row>
    <row r="140" spans="1:4" x14ac:dyDescent="0.2">
      <c r="A140" s="26"/>
      <c r="B140" s="13"/>
      <c r="C140" s="14"/>
      <c r="D140" s="14"/>
    </row>
    <row r="141" spans="1:4" ht="15.75" x14ac:dyDescent="0.3">
      <c r="A141" s="40" t="s">
        <v>25</v>
      </c>
      <c r="B141" s="13" t="s">
        <v>34</v>
      </c>
      <c r="C141" s="27" t="s">
        <v>73</v>
      </c>
      <c r="D141" s="41">
        <f>'X- Ebene'!D75/(2*'Welle 60'!D24*10^2)*(('X- Ebene'!D66^2-'X- Ebene'!D69^2)/(0.05*'X- Ebene'!D71^4)+('X- Ebene'!D67^2-'X- Ebene'!D66^2)/(0.05*'X- Ebene'!D72^4)+('X- Ebene'!D68^2-'X- Ebene'!D67^2)/(0.05*'X- Ebene'!D73^4))*10^3</f>
        <v>0</v>
      </c>
    </row>
    <row r="142" spans="1:4" ht="15.75" x14ac:dyDescent="0.3">
      <c r="A142" s="40" t="s">
        <v>36</v>
      </c>
      <c r="B142" s="13" t="s">
        <v>5</v>
      </c>
      <c r="C142" s="14" t="s">
        <v>74</v>
      </c>
      <c r="D142" s="41">
        <f>('X- Ebene'!D75/(3*'Welle 60'!D24*10^2)*(('X- Ebene'!D66^3-'X- Ebene'!D69^3)/(0.05*'X- Ebene'!D71^4)+('X- Ebene'!D67^3-'X- Ebene'!D66^3)/(0.05*'X- Ebene'!D72^4)+('X- Ebene'!D68^3-'X- Ebene'!D67^3)/(0.05*'X- Ebene'!D73^4))-'Welle 60'!D141*10^(-3)*'X- Ebene'!D69)*10^2</f>
        <v>0</v>
      </c>
    </row>
    <row r="143" spans="1:4" x14ac:dyDescent="0.2">
      <c r="A143" s="26"/>
      <c r="B143" s="13"/>
      <c r="C143" s="14"/>
      <c r="D143" s="14"/>
    </row>
    <row r="144" spans="1:4" ht="15.75" x14ac:dyDescent="0.3">
      <c r="A144" s="40" t="s">
        <v>25</v>
      </c>
      <c r="B144" s="13" t="s">
        <v>26</v>
      </c>
      <c r="C144" s="27" t="s">
        <v>75</v>
      </c>
      <c r="D144" s="41">
        <f>'X- Ebene'!D103*'X- Ebene'!D98/('Welle 60'!D24*10^2)*('X- Ebene'!D94/(0.05*'X- Ebene'!D100^4)+('X- Ebene'!D95-'X- Ebene'!D94)/(0.05*'X- Ebene'!D101^4))*10^3</f>
        <v>0</v>
      </c>
    </row>
    <row r="145" spans="1:4" ht="15.75" x14ac:dyDescent="0.3">
      <c r="A145" s="40" t="s">
        <v>39</v>
      </c>
      <c r="B145" s="13" t="s">
        <v>29</v>
      </c>
      <c r="C145" s="28" t="s">
        <v>76</v>
      </c>
      <c r="D145" s="41">
        <f>('X- Ebene'!D103*'X- Ebene'!D98/(2*'Welle 60'!D24*10^2)*('X- Ebene'!D94^2/(0.05*'X- Ebene'!D100^4)+('X- Ebene'!D95^2-'X- Ebene'!D94^2)/(0.05*'X- Ebene'!D101^4))+'Welle 60'!D144*10^(-3)*'X- Ebene'!D96)*10^2</f>
        <v>0</v>
      </c>
    </row>
    <row r="146" spans="1:4" x14ac:dyDescent="0.2">
      <c r="A146" s="26"/>
      <c r="B146" s="13"/>
      <c r="C146" s="14"/>
      <c r="D146" s="14"/>
    </row>
    <row r="147" spans="1:4" ht="15.75" x14ac:dyDescent="0.3">
      <c r="A147" s="40" t="s">
        <v>25</v>
      </c>
      <c r="B147" s="13" t="s">
        <v>26</v>
      </c>
      <c r="C147" s="27" t="s">
        <v>73</v>
      </c>
      <c r="D147" s="41">
        <f>'X- Ebene'!D132*'X- Ebene'!D127/('Welle 60'!D24*10^2)*(('X- Ebene'!D122-'X- Ebene'!D125)/(0.05*'X- Ebene'!D128^4)+('X- Ebene'!D123-'X- Ebene'!D122)/(0.05*'X- Ebene'!D129^4)+('X- Ebene'!D124-'X- Ebene'!D123)/(0.05*'X- Ebene'!D130^4))*10^3</f>
        <v>0</v>
      </c>
    </row>
    <row r="148" spans="1:4" ht="15.75" x14ac:dyDescent="0.3">
      <c r="A148" s="40" t="s">
        <v>41</v>
      </c>
      <c r="B148" s="13" t="s">
        <v>29</v>
      </c>
      <c r="C148" s="14" t="s">
        <v>74</v>
      </c>
      <c r="D148" s="41">
        <f>('X- Ebene'!D132*'X- Ebene'!D127/(2*'Welle 60'!D24*10^2)*(('X- Ebene'!D122^2-'X- Ebene'!D125^2)/(0.05*'X- Ebene'!D128^4)+('X- Ebene'!D123^2-'X- Ebene'!D122^2)/(0.05*'X- Ebene'!D129^4)+('X- Ebene'!D124^2-'X- Ebene'!D123^2)/(0.05*'X- Ebene'!D130^4))-'Welle 60'!D147*10^(-3)*'X- Ebene'!D125)*10^2</f>
        <v>0</v>
      </c>
    </row>
    <row r="149" spans="1:4" x14ac:dyDescent="0.2">
      <c r="A149" s="40"/>
      <c r="B149" s="13"/>
      <c r="C149" s="14"/>
      <c r="D149" s="14"/>
    </row>
    <row r="150" spans="1:4" x14ac:dyDescent="0.2">
      <c r="A150" s="26"/>
      <c r="B150" s="13" t="s">
        <v>42</v>
      </c>
      <c r="C150" s="14"/>
      <c r="D150" s="14"/>
    </row>
    <row r="151" spans="1:4" ht="15.75" x14ac:dyDescent="0.3">
      <c r="A151" s="26"/>
      <c r="B151" s="13" t="s">
        <v>77</v>
      </c>
      <c r="C151" s="42" t="s">
        <v>78</v>
      </c>
      <c r="D151" s="41">
        <f>D135+D138+D141+D144+D147</f>
        <v>-7.2333671584542444E-2</v>
      </c>
    </row>
    <row r="152" spans="1:4" ht="15.75" x14ac:dyDescent="0.3">
      <c r="A152" s="26"/>
      <c r="B152" s="13" t="s">
        <v>79</v>
      </c>
      <c r="C152" s="43" t="s">
        <v>80</v>
      </c>
      <c r="D152" s="41">
        <f>D136+D139+D142+D145+D148</f>
        <v>-0.68681065532063512</v>
      </c>
    </row>
    <row r="153" spans="1:4" x14ac:dyDescent="0.2">
      <c r="A153" s="26"/>
      <c r="B153" s="13"/>
      <c r="C153" s="14"/>
      <c r="D153" s="14"/>
    </row>
    <row r="154" spans="1:4" x14ac:dyDescent="0.2">
      <c r="A154" s="26"/>
      <c r="B154" s="38" t="s">
        <v>81</v>
      </c>
      <c r="C154" s="14"/>
      <c r="D154" s="13"/>
    </row>
    <row r="155" spans="1:4" ht="15.75" x14ac:dyDescent="0.3">
      <c r="A155" s="40" t="s">
        <v>25</v>
      </c>
      <c r="B155" s="13" t="s">
        <v>26</v>
      </c>
      <c r="C155" s="27" t="s">
        <v>82</v>
      </c>
      <c r="D155" s="41">
        <f>'X- Ebene'!D157/(2*'Welle 60'!D24*10^2)*('X- Ebene'!D150^2/(0.05*'X- Ebene'!D153^4)+('X- Ebene'!D151^2-'X- Ebene'!D150^2)/(0.05*'X- Ebene'!D154^4)+('X- Ebene'!D152^2-'X- Ebene'!D151^2)/(0.05*'X- Ebene'!D155^4))*10^3</f>
        <v>0.46658228255177142</v>
      </c>
    </row>
    <row r="156" spans="1:4" ht="15.75" x14ac:dyDescent="0.3">
      <c r="A156" s="40" t="s">
        <v>28</v>
      </c>
      <c r="B156" s="13" t="s">
        <v>29</v>
      </c>
      <c r="C156" s="14" t="s">
        <v>83</v>
      </c>
      <c r="D156" s="41">
        <f>'X- Ebene'!D157/(3*'Welle 60'!D24*10^2)*('X- Ebene'!D150^3/(0.05*'X- Ebene'!D153^4)+('X- Ebene'!D151^3-'X- Ebene'!D150^3)/(0.05*'X- Ebene'!D154^4)+('X- Ebene'!D152^3-'X- Ebene'!D151^3)/(0.05*'X- Ebene'!D155^4))*10^2</f>
        <v>4.3631137070838211</v>
      </c>
    </row>
    <row r="157" spans="1:4" x14ac:dyDescent="0.2">
      <c r="A157" s="26"/>
      <c r="B157" s="13"/>
      <c r="C157" s="14"/>
      <c r="D157" s="14"/>
    </row>
    <row r="158" spans="1:4" ht="15.75" x14ac:dyDescent="0.3">
      <c r="A158" s="40" t="s">
        <v>25</v>
      </c>
      <c r="B158" s="13" t="s">
        <v>26</v>
      </c>
      <c r="C158" s="27" t="s">
        <v>84</v>
      </c>
      <c r="D158" s="41">
        <f>'X- Ebene'!D184/(2*'Welle 60'!D24*10^2)*('X- Ebene'!D175^2/(0.05*'X- Ebene'!D180^4)+('X- Ebene'!D176^2-'X- Ebene'!D175^2)/(0.05*'X- Ebene'!D181^4))*10^3</f>
        <v>-4.1910089653145206E-3</v>
      </c>
    </row>
    <row r="159" spans="1:4" ht="15.75" x14ac:dyDescent="0.3">
      <c r="A159" s="40" t="s">
        <v>32</v>
      </c>
      <c r="B159" s="13" t="s">
        <v>5</v>
      </c>
      <c r="C159" s="14" t="s">
        <v>85</v>
      </c>
      <c r="D159" s="41">
        <f>('X- Ebene'!D184/(3*'Welle 60'!D24*10^2)*('X- Ebene'!D175^3/(0.05*'X- Ebene'!D180^4)+('X- Ebene'!D176^3-'X- Ebene'!D175^3)/(0.05*'X- Ebene'!D181^4))+'Welle 60'!D158*10^(-3)*'X- Ebene'!D177)*10^2</f>
        <v>-4.959360608955516E-2</v>
      </c>
    </row>
    <row r="160" spans="1:4" x14ac:dyDescent="0.2">
      <c r="A160" s="26"/>
      <c r="B160" s="13"/>
      <c r="C160" s="14"/>
      <c r="D160" s="14"/>
    </row>
    <row r="161" spans="1:4" ht="15.75" x14ac:dyDescent="0.3">
      <c r="A161" s="40" t="s">
        <v>25</v>
      </c>
      <c r="B161" s="13" t="s">
        <v>34</v>
      </c>
      <c r="C161" s="27" t="s">
        <v>86</v>
      </c>
      <c r="D161" s="41">
        <f>'X- Ebene'!D212/(2*'Welle 60'!D24*10^2)*(('X- Ebene'!D203^2-'X- Ebene'!D206^2)/(0.05*'X- Ebene'!D208^4)+('X- Ebene'!D204^2-'X- Ebene'!D203^2)/(0.05*'X- Ebene'!D209^4)+('X- Ebene'!D205^2-'X- Ebene'!D204^2)/(0.05*'X- Ebene'!D210^4))*10^3</f>
        <v>-0.73487785763659252</v>
      </c>
    </row>
    <row r="162" spans="1:4" ht="15.75" x14ac:dyDescent="0.3">
      <c r="A162" s="40" t="s">
        <v>36</v>
      </c>
      <c r="B162" s="13" t="s">
        <v>5</v>
      </c>
      <c r="C162" s="14" t="s">
        <v>87</v>
      </c>
      <c r="D162" s="41">
        <f>('X- Ebene'!D212/(3*'Welle 60'!D24*10^2)*(('X- Ebene'!D203^3-'X- Ebene'!D206^3)/(0.05*'X- Ebene'!D208^4)+('X- Ebene'!D204^3-'X- Ebene'!D203^3)/(0.05*'X- Ebene'!D209^4)+('X- Ebene'!D205^3-'X- Ebene'!D204^3)/(0.05*'X- Ebene'!D210^4))-'Welle 60'!D161*10^(-3)*'X- Ebene'!D206)*10^2</f>
        <v>-5.8525269637819584</v>
      </c>
    </row>
    <row r="163" spans="1:4" x14ac:dyDescent="0.2">
      <c r="A163" s="26"/>
      <c r="B163" s="13"/>
      <c r="C163" s="14"/>
      <c r="D163" s="14"/>
    </row>
    <row r="164" spans="1:4" ht="15.75" x14ac:dyDescent="0.3">
      <c r="A164" s="40" t="s">
        <v>25</v>
      </c>
      <c r="B164" s="13" t="s">
        <v>26</v>
      </c>
      <c r="C164" s="27" t="s">
        <v>88</v>
      </c>
      <c r="D164" s="41">
        <f>'X- Ebene'!D240*'X- Ebene'!D235/('Welle 60'!D24*10^2)*('X- Ebene'!D231/(0.05*'X- Ebene'!D237^4)+('X- Ebene'!D232-'X- Ebene'!D231)/(0.05*'X- Ebene'!D238^4))*10^3</f>
        <v>0</v>
      </c>
    </row>
    <row r="165" spans="1:4" ht="15.75" x14ac:dyDescent="0.3">
      <c r="A165" s="40" t="s">
        <v>39</v>
      </c>
      <c r="B165" s="13" t="s">
        <v>29</v>
      </c>
      <c r="C165" s="28" t="s">
        <v>89</v>
      </c>
      <c r="D165" s="41">
        <f>('X- Ebene'!D240*'X- Ebene'!D235/(2*'Welle 60'!D24*10^2)*('X- Ebene'!D231^2/(0.05*'X- Ebene'!D237^4)+('X- Ebene'!D232^2-'X- Ebene'!D231^2)/(0.05*'X- Ebene'!D238^4))+'Welle 60'!D164*10^(-3)*'X- Ebene'!D233)*10^2</f>
        <v>0</v>
      </c>
    </row>
    <row r="166" spans="1:4" x14ac:dyDescent="0.2">
      <c r="A166" s="26"/>
      <c r="B166" s="13"/>
      <c r="C166" s="14"/>
      <c r="D166" s="14"/>
    </row>
    <row r="167" spans="1:4" ht="15.75" x14ac:dyDescent="0.3">
      <c r="A167" s="40" t="s">
        <v>25</v>
      </c>
      <c r="B167" s="13" t="s">
        <v>26</v>
      </c>
      <c r="C167" s="27" t="s">
        <v>86</v>
      </c>
      <c r="D167" s="41">
        <f>'X- Ebene'!D268*'X- Ebene'!D263/('Welle 60'!D24*10^2)*(('X- Ebene'!D258-'X- Ebene'!D261)/(0.05*'X- Ebene'!D264^4)+('X- Ebene'!D259-'X- Ebene'!D258)/(0.05*'X- Ebene'!D265^4)+('X- Ebene'!D260-'X- Ebene'!D259)/(0.05*'X- Ebene'!D266^4))*10^3</f>
        <v>0</v>
      </c>
    </row>
    <row r="168" spans="1:4" ht="15.75" x14ac:dyDescent="0.3">
      <c r="A168" s="40" t="s">
        <v>41</v>
      </c>
      <c r="B168" s="13" t="s">
        <v>29</v>
      </c>
      <c r="C168" s="14" t="s">
        <v>87</v>
      </c>
      <c r="D168" s="41">
        <f>('X- Ebene'!D268*'X- Ebene'!D263/(2*'Welle 60'!D24*10^2)*(('X- Ebene'!D258^2-'X- Ebene'!D261^2)/(0.05*'X- Ebene'!D264^4)+('X- Ebene'!D259^2-'X- Ebene'!D258^2)/(0.05*'X- Ebene'!D265^4)+('X- Ebene'!D260^2-'X- Ebene'!D259^2)/(0.05*'X- Ebene'!D266^4))-'Welle 60'!D167*10^(-3)*'X- Ebene'!D261)*10^2</f>
        <v>0</v>
      </c>
    </row>
    <row r="169" spans="1:4" x14ac:dyDescent="0.2">
      <c r="A169" s="40"/>
      <c r="B169" s="13"/>
      <c r="C169" s="14"/>
      <c r="D169" s="41"/>
    </row>
    <row r="170" spans="1:4" x14ac:dyDescent="0.2">
      <c r="A170" s="40"/>
      <c r="B170" s="13"/>
      <c r="C170" s="14"/>
      <c r="D170" s="41"/>
    </row>
    <row r="171" spans="1:4" x14ac:dyDescent="0.2">
      <c r="A171" s="40"/>
      <c r="B171" s="13"/>
      <c r="C171" s="14"/>
      <c r="D171" s="14"/>
    </row>
    <row r="172" spans="1:4" x14ac:dyDescent="0.2">
      <c r="A172" s="26"/>
      <c r="B172" s="13" t="s">
        <v>42</v>
      </c>
      <c r="C172" s="14"/>
      <c r="D172" s="14"/>
    </row>
    <row r="173" spans="1:4" ht="15.75" x14ac:dyDescent="0.3">
      <c r="A173" s="26"/>
      <c r="B173" s="13" t="s">
        <v>90</v>
      </c>
      <c r="C173" s="27" t="s">
        <v>91</v>
      </c>
      <c r="D173" s="41">
        <f>D155+D158+D161+D164+D167</f>
        <v>-0.27248658405013565</v>
      </c>
    </row>
    <row r="174" spans="1:4" ht="15.75" x14ac:dyDescent="0.3">
      <c r="A174" s="26"/>
      <c r="B174" s="13" t="s">
        <v>92</v>
      </c>
      <c r="C174" s="14" t="s">
        <v>93</v>
      </c>
      <c r="D174" s="41">
        <f>D156+D159+D162+D165+D168</f>
        <v>-1.5390068627876925</v>
      </c>
    </row>
    <row r="175" spans="1:4" x14ac:dyDescent="0.2">
      <c r="A175" s="26"/>
      <c r="B175" s="13"/>
      <c r="C175" s="14"/>
      <c r="D175" s="14"/>
    </row>
    <row r="176" spans="1:4" x14ac:dyDescent="0.2">
      <c r="A176" s="26"/>
      <c r="B176" s="13"/>
      <c r="C176" s="14"/>
      <c r="D176" s="14"/>
    </row>
    <row r="177" spans="1:4" x14ac:dyDescent="0.2">
      <c r="A177" s="26"/>
      <c r="B177" s="55" t="s">
        <v>157</v>
      </c>
      <c r="C177" s="13"/>
      <c r="D177" s="14"/>
    </row>
    <row r="178" spans="1:4" ht="15.75" x14ac:dyDescent="0.3">
      <c r="A178" s="26"/>
      <c r="B178" s="13" t="s">
        <v>60</v>
      </c>
      <c r="C178" s="27" t="s">
        <v>94</v>
      </c>
      <c r="D178" s="9">
        <f>(D152-D174)*10^(-2)/('X- Ebene'!D16+'X- Ebene'!D152)*10^3</f>
        <v>2.9386076119553704E-2</v>
      </c>
    </row>
    <row r="179" spans="1:4" ht="15.75" x14ac:dyDescent="0.3">
      <c r="A179" s="26"/>
      <c r="B179" s="13" t="s">
        <v>62</v>
      </c>
      <c r="C179" s="27" t="s">
        <v>95</v>
      </c>
      <c r="D179" s="9">
        <f>(D151-D178)</f>
        <v>-0.10171974770409614</v>
      </c>
    </row>
    <row r="180" spans="1:4" ht="15.75" x14ac:dyDescent="0.3">
      <c r="A180" s="26"/>
      <c r="B180" s="13" t="s">
        <v>64</v>
      </c>
      <c r="C180" s="27" t="s">
        <v>96</v>
      </c>
      <c r="D180" s="9">
        <f>D173+D178</f>
        <v>-0.24310050793058194</v>
      </c>
    </row>
    <row r="181" spans="1:4" ht="15.75" x14ac:dyDescent="0.3">
      <c r="A181" s="26"/>
      <c r="B181" s="13" t="s">
        <v>155</v>
      </c>
      <c r="C181" s="14" t="s">
        <v>97</v>
      </c>
      <c r="D181" s="9">
        <f>D152-D178*'Y- Ebene'!D16/10</f>
        <v>-1.1129087590541638</v>
      </c>
    </row>
    <row r="182" spans="1:4" x14ac:dyDescent="0.2">
      <c r="A182" s="26"/>
      <c r="B182" s="13"/>
      <c r="C182" s="14"/>
      <c r="D182" s="14"/>
    </row>
    <row r="183" spans="1:4" x14ac:dyDescent="0.2">
      <c r="A183" s="26"/>
      <c r="B183" s="13"/>
      <c r="C183" s="14"/>
      <c r="D183" s="14"/>
    </row>
    <row r="184" spans="1:4" ht="15.75" x14ac:dyDescent="0.3">
      <c r="A184" s="26"/>
      <c r="B184" s="13" t="s">
        <v>98</v>
      </c>
      <c r="C184" s="27" t="s">
        <v>99</v>
      </c>
      <c r="D184" s="10">
        <f>SQRT(D179^2+D129^2)</f>
        <v>0.61799431719127573</v>
      </c>
    </row>
    <row r="185" spans="1:4" ht="15.75" x14ac:dyDescent="0.3">
      <c r="A185" s="26"/>
      <c r="B185" s="13" t="s">
        <v>100</v>
      </c>
      <c r="C185" s="27" t="s">
        <v>101</v>
      </c>
      <c r="D185" s="10">
        <f>SQRT(D180^2+D130^2)</f>
        <v>0.93777869337112729</v>
      </c>
    </row>
    <row r="186" spans="1:4" ht="15.75" x14ac:dyDescent="0.3">
      <c r="A186" s="26"/>
      <c r="B186" s="13" t="s">
        <v>102</v>
      </c>
      <c r="C186" s="28" t="s">
        <v>103</v>
      </c>
      <c r="D186" s="11">
        <f>SQRT(D181^2+D131^2)</f>
        <v>6.3176952543104878</v>
      </c>
    </row>
    <row r="187" spans="1:4" x14ac:dyDescent="0.2">
      <c r="A187" s="26"/>
      <c r="B187" s="13"/>
      <c r="C187" s="28" t="s">
        <v>104</v>
      </c>
      <c r="D187" s="12">
        <f>D186*10</f>
        <v>63.176952543104875</v>
      </c>
    </row>
    <row r="188" spans="1:4" x14ac:dyDescent="0.2">
      <c r="A188" s="26"/>
      <c r="B188" s="13"/>
      <c r="C188" s="14"/>
      <c r="D188" s="14"/>
    </row>
    <row r="189" spans="1:4" ht="31.5" customHeight="1" x14ac:dyDescent="0.2">
      <c r="A189" s="26"/>
      <c r="B189" s="65" t="str">
        <f>IF(D184&lt;=D21,"Der Gesamtneigungswinkel des Zapfens im Lager A ist zulässig.","Der Gesamtneigungswinkel des Zapfens im Lager A ist nicht zulässig.")</f>
        <v>Der Gesamtneigungswinkel des Zapfens im Lager A ist zulässig.</v>
      </c>
      <c r="C189" s="14"/>
      <c r="D189" s="14"/>
    </row>
    <row r="190" spans="1:4" ht="31.5" customHeight="1" x14ac:dyDescent="0.2">
      <c r="A190" s="26"/>
      <c r="B190" s="65" t="str">
        <f>IF(D185&lt;=D22,"Der Gesamtneigungswinkel des Zapfens im Lager B ist zulässig.","Der Gesamtneigungswinkel des Zapfens im Lager B ist nicht zulässig.")</f>
        <v>Der Gesamtneigungswinkel des Zapfens im Lager B ist zulässig.</v>
      </c>
      <c r="C190" s="14"/>
      <c r="D190" s="14"/>
    </row>
    <row r="191" spans="1:4" x14ac:dyDescent="0.2">
      <c r="A191" s="26"/>
      <c r="B191" s="13"/>
      <c r="C191" s="14"/>
      <c r="D191" s="14"/>
    </row>
    <row r="192" spans="1:4" ht="31.5" customHeight="1" x14ac:dyDescent="0.2">
      <c r="A192" s="26"/>
      <c r="B192" s="65" t="str">
        <f>IF(D187&lt;=D23,"Die Gesamtdurchbiegung der Welle bleibt unterhalb des zulässigen Wertes.","Die Gesamtdurchbiegung der Welle überschreitet den zulässigen Wert.")</f>
        <v>Die Gesamtdurchbiegung der Welle bleibt unterhalb des zulässigen Wertes.</v>
      </c>
      <c r="C192" s="14"/>
      <c r="D192" s="14"/>
    </row>
    <row r="193" spans="1:4" x14ac:dyDescent="0.2">
      <c r="A193" s="26"/>
      <c r="B193" s="13"/>
      <c r="C193" s="14"/>
      <c r="D193" s="14"/>
    </row>
    <row r="194" spans="1:4" x14ac:dyDescent="0.2">
      <c r="A194" s="26"/>
      <c r="B194" s="13"/>
      <c r="C194" s="14"/>
      <c r="D194" s="14"/>
    </row>
    <row r="195" spans="1:4" x14ac:dyDescent="0.2">
      <c r="A195" s="26"/>
      <c r="B195" s="13"/>
      <c r="C195" s="14"/>
      <c r="D195" s="14"/>
    </row>
    <row r="196" spans="1:4" x14ac:dyDescent="0.2">
      <c r="A196" s="26"/>
      <c r="B196" s="13"/>
      <c r="C196" s="14"/>
      <c r="D196" s="14"/>
    </row>
    <row r="197" spans="1:4" x14ac:dyDescent="0.2">
      <c r="A197" s="26"/>
      <c r="B197" s="13"/>
      <c r="C197" s="14"/>
      <c r="D197" s="14"/>
    </row>
    <row r="198" spans="1:4" x14ac:dyDescent="0.2">
      <c r="A198" s="26"/>
      <c r="B198" s="13"/>
      <c r="C198" s="14"/>
      <c r="D198" s="14"/>
    </row>
    <row r="199" spans="1:4" x14ac:dyDescent="0.2">
      <c r="A199" s="26"/>
      <c r="B199" s="13"/>
      <c r="C199" s="14"/>
      <c r="D199" s="14"/>
    </row>
    <row r="200" spans="1:4" x14ac:dyDescent="0.2">
      <c r="A200" s="26"/>
      <c r="B200" s="13"/>
      <c r="C200" s="14"/>
      <c r="D200" s="14"/>
    </row>
    <row r="201" spans="1:4" x14ac:dyDescent="0.2">
      <c r="A201" s="26"/>
      <c r="B201" s="13"/>
      <c r="C201" s="14"/>
      <c r="D201" s="14"/>
    </row>
    <row r="202" spans="1:4" s="48" customFormat="1" x14ac:dyDescent="0.2">
      <c r="C202" s="66"/>
      <c r="D202" s="66"/>
    </row>
    <row r="203" spans="1:4" s="48" customFormat="1" x14ac:dyDescent="0.2">
      <c r="C203" s="66"/>
      <c r="D203" s="66"/>
    </row>
    <row r="204" spans="1:4" s="48" customFormat="1" x14ac:dyDescent="0.2">
      <c r="C204" s="66"/>
      <c r="D204" s="66"/>
    </row>
    <row r="205" spans="1:4" s="48" customFormat="1" x14ac:dyDescent="0.2">
      <c r="C205" s="66"/>
      <c r="D205" s="66"/>
    </row>
    <row r="206" spans="1:4" x14ac:dyDescent="0.2">
      <c r="A206" s="48"/>
    </row>
    <row r="207" spans="1:4" x14ac:dyDescent="0.2">
      <c r="A207" s="48"/>
    </row>
    <row r="208" spans="1:4" x14ac:dyDescent="0.2">
      <c r="A208" s="48"/>
    </row>
    <row r="209" spans="1:1" x14ac:dyDescent="0.2">
      <c r="A209" s="48"/>
    </row>
    <row r="210" spans="1:1" x14ac:dyDescent="0.2">
      <c r="A210" s="48"/>
    </row>
    <row r="211" spans="1:1" x14ac:dyDescent="0.2">
      <c r="A211" s="48"/>
    </row>
    <row r="212" spans="1:1" x14ac:dyDescent="0.2">
      <c r="A212" s="48"/>
    </row>
  </sheetData>
  <sheetProtection sheet="1" objects="1" scenarios="1"/>
  <phoneticPr fontId="0" type="noConversion"/>
  <pageMargins left="0.78740157499999996" right="0.78740157499999996" top="0.984251969" bottom="0.984251969" header="0.51181102300000003" footer="0.51181102300000003"/>
  <pageSetup paperSize="9" orientation="portrait" blackAndWhite="1" horizontalDpi="180" verticalDpi="300" r:id="rId1"/>
  <headerFooter alignWithMargins="0">
    <oddHeader>&amp;A</oddHeader>
    <oddFooter>Seite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5" r:id="rId4" name="Button 21">
              <controlPr defaultSize="0" autoFill="0" autoLine="0" autoPict="0" macro="[0]!Makro1">
                <anchor moveWithCells="1" sizeWithCells="1">
                  <from>
                    <xdr:col>1</xdr:col>
                    <xdr:colOff>1438275</xdr:colOff>
                    <xdr:row>35</xdr:row>
                    <xdr:rowOff>0</xdr:rowOff>
                  </from>
                  <to>
                    <xdr:col>2</xdr:col>
                    <xdr:colOff>0</xdr:colOff>
                    <xdr:row>36</xdr:row>
                    <xdr:rowOff>19050</xdr:rowOff>
                  </to>
                </anchor>
              </controlPr>
            </control>
          </mc:Choice>
        </mc:AlternateContent>
        <mc:AlternateContent xmlns:mc="http://schemas.openxmlformats.org/markup-compatibility/2006">
          <mc:Choice Requires="x14">
            <control shapeId="1046" r:id="rId5" name="Button 22">
              <controlPr defaultSize="0" autoFill="0" autoLine="0" autoPict="0" macro="[0]!Makro4">
                <anchor moveWithCells="1" sizeWithCells="1">
                  <from>
                    <xdr:col>1</xdr:col>
                    <xdr:colOff>1438275</xdr:colOff>
                    <xdr:row>37</xdr:row>
                    <xdr:rowOff>0</xdr:rowOff>
                  </from>
                  <to>
                    <xdr:col>2</xdr:col>
                    <xdr:colOff>0</xdr:colOff>
                    <xdr:row>38</xdr:row>
                    <xdr:rowOff>19050</xdr:rowOff>
                  </to>
                </anchor>
              </controlPr>
            </control>
          </mc:Choice>
        </mc:AlternateContent>
        <mc:AlternateContent xmlns:mc="http://schemas.openxmlformats.org/markup-compatibility/2006">
          <mc:Choice Requires="x14">
            <control shapeId="1047" r:id="rId6" name="Button 23">
              <controlPr defaultSize="0" autoFill="0" autoLine="0" autoPict="0" macro="[0]!Makro7">
                <anchor moveWithCells="1" sizeWithCells="1">
                  <from>
                    <xdr:col>1</xdr:col>
                    <xdr:colOff>1438275</xdr:colOff>
                    <xdr:row>38</xdr:row>
                    <xdr:rowOff>161925</xdr:rowOff>
                  </from>
                  <to>
                    <xdr:col>1</xdr:col>
                    <xdr:colOff>3048000</xdr:colOff>
                    <xdr:row>40</xdr:row>
                    <xdr:rowOff>19050</xdr:rowOff>
                  </to>
                </anchor>
              </controlPr>
            </control>
          </mc:Choice>
        </mc:AlternateContent>
        <mc:AlternateContent xmlns:mc="http://schemas.openxmlformats.org/markup-compatibility/2006">
          <mc:Choice Requires="x14">
            <control shapeId="1048" r:id="rId7" name="Button 24">
              <controlPr defaultSize="0" autoFill="0" autoLine="0" autoPict="0" macro="[0]!Makro10">
                <anchor moveWithCells="1" sizeWithCells="1">
                  <from>
                    <xdr:col>1</xdr:col>
                    <xdr:colOff>1438275</xdr:colOff>
                    <xdr:row>41</xdr:row>
                    <xdr:rowOff>0</xdr:rowOff>
                  </from>
                  <to>
                    <xdr:col>1</xdr:col>
                    <xdr:colOff>3048000</xdr:colOff>
                    <xdr:row>42</xdr:row>
                    <xdr:rowOff>19050</xdr:rowOff>
                  </to>
                </anchor>
              </controlPr>
            </control>
          </mc:Choice>
        </mc:AlternateContent>
        <mc:AlternateContent xmlns:mc="http://schemas.openxmlformats.org/markup-compatibility/2006">
          <mc:Choice Requires="x14">
            <control shapeId="1049" r:id="rId8" name="Button 25">
              <controlPr defaultSize="0" autoFill="0" autoLine="0" autoPict="0" macro="[0]!Makro13">
                <anchor moveWithCells="1" sizeWithCells="1">
                  <from>
                    <xdr:col>1</xdr:col>
                    <xdr:colOff>1438275</xdr:colOff>
                    <xdr:row>42</xdr:row>
                    <xdr:rowOff>161925</xdr:rowOff>
                  </from>
                  <to>
                    <xdr:col>2</xdr:col>
                    <xdr:colOff>0</xdr:colOff>
                    <xdr:row>44</xdr:row>
                    <xdr:rowOff>19050</xdr:rowOff>
                  </to>
                </anchor>
              </controlPr>
            </control>
          </mc:Choice>
        </mc:AlternateContent>
        <mc:AlternateContent xmlns:mc="http://schemas.openxmlformats.org/markup-compatibility/2006">
          <mc:Choice Requires="x14">
            <control shapeId="1050" r:id="rId9" name="Button 26">
              <controlPr defaultSize="0" autoFill="0" autoLine="0" autoPict="0" macro="[0]!Makro16">
                <anchor moveWithCells="1" sizeWithCells="1">
                  <from>
                    <xdr:col>1</xdr:col>
                    <xdr:colOff>1438275</xdr:colOff>
                    <xdr:row>48</xdr:row>
                    <xdr:rowOff>0</xdr:rowOff>
                  </from>
                  <to>
                    <xdr:col>2</xdr:col>
                    <xdr:colOff>0</xdr:colOff>
                    <xdr:row>49</xdr:row>
                    <xdr:rowOff>19050</xdr:rowOff>
                  </to>
                </anchor>
              </controlPr>
            </control>
          </mc:Choice>
        </mc:AlternateContent>
        <mc:AlternateContent xmlns:mc="http://schemas.openxmlformats.org/markup-compatibility/2006">
          <mc:Choice Requires="x14">
            <control shapeId="1052" r:id="rId10" name="Button 28">
              <controlPr defaultSize="0" autoFill="0" autoLine="0" autoPict="0" macro="[0]!Makro22">
                <anchor moveWithCells="1" sizeWithCells="1">
                  <from>
                    <xdr:col>1</xdr:col>
                    <xdr:colOff>1438275</xdr:colOff>
                    <xdr:row>52</xdr:row>
                    <xdr:rowOff>0</xdr:rowOff>
                  </from>
                  <to>
                    <xdr:col>2</xdr:col>
                    <xdr:colOff>0</xdr:colOff>
                    <xdr:row>53</xdr:row>
                    <xdr:rowOff>9525</xdr:rowOff>
                  </to>
                </anchor>
              </controlPr>
            </control>
          </mc:Choice>
        </mc:AlternateContent>
        <mc:AlternateContent xmlns:mc="http://schemas.openxmlformats.org/markup-compatibility/2006">
          <mc:Choice Requires="x14">
            <control shapeId="1053" r:id="rId11" name="Button 29">
              <controlPr defaultSize="0" autoFill="0" autoLine="0" autoPict="0" macro="[0]!Makro25">
                <anchor moveWithCells="1" sizeWithCells="1">
                  <from>
                    <xdr:col>1</xdr:col>
                    <xdr:colOff>1438275</xdr:colOff>
                    <xdr:row>54</xdr:row>
                    <xdr:rowOff>0</xdr:rowOff>
                  </from>
                  <to>
                    <xdr:col>1</xdr:col>
                    <xdr:colOff>3038475</xdr:colOff>
                    <xdr:row>55</xdr:row>
                    <xdr:rowOff>19050</xdr:rowOff>
                  </to>
                </anchor>
              </controlPr>
            </control>
          </mc:Choice>
        </mc:AlternateContent>
        <mc:AlternateContent xmlns:mc="http://schemas.openxmlformats.org/markup-compatibility/2006">
          <mc:Choice Requires="x14">
            <control shapeId="1054" r:id="rId12" name="Button 30">
              <controlPr defaultSize="0" autoFill="0" autoLine="0" autoPict="0" macro="[0]!Makro28">
                <anchor moveWithCells="1" sizeWithCells="1">
                  <from>
                    <xdr:col>1</xdr:col>
                    <xdr:colOff>1438275</xdr:colOff>
                    <xdr:row>56</xdr:row>
                    <xdr:rowOff>0</xdr:rowOff>
                  </from>
                  <to>
                    <xdr:col>1</xdr:col>
                    <xdr:colOff>3038475</xdr:colOff>
                    <xdr:row>57</xdr:row>
                    <xdr:rowOff>9525</xdr:rowOff>
                  </to>
                </anchor>
              </controlPr>
            </control>
          </mc:Choice>
        </mc:AlternateContent>
        <mc:AlternateContent xmlns:mc="http://schemas.openxmlformats.org/markup-compatibility/2006">
          <mc:Choice Requires="x14">
            <control shapeId="1055" r:id="rId13" name="Button 31">
              <controlPr defaultSize="0" autoFill="0" autoLine="0" autoPict="0" macro="[0]!Makro31">
                <anchor moveWithCells="1" sizeWithCells="1">
                  <from>
                    <xdr:col>1</xdr:col>
                    <xdr:colOff>1438275</xdr:colOff>
                    <xdr:row>61</xdr:row>
                    <xdr:rowOff>0</xdr:rowOff>
                  </from>
                  <to>
                    <xdr:col>2</xdr:col>
                    <xdr:colOff>0</xdr:colOff>
                    <xdr:row>62</xdr:row>
                    <xdr:rowOff>19050</xdr:rowOff>
                  </to>
                </anchor>
              </controlPr>
            </control>
          </mc:Choice>
        </mc:AlternateContent>
        <mc:AlternateContent xmlns:mc="http://schemas.openxmlformats.org/markup-compatibility/2006">
          <mc:Choice Requires="x14">
            <control shapeId="1056" r:id="rId14" name="Button 32">
              <controlPr defaultSize="0" autoFill="0" autoLine="0" autoPict="0" macro="[0]!Makro34">
                <anchor moveWithCells="1" sizeWithCells="1">
                  <from>
                    <xdr:col>1</xdr:col>
                    <xdr:colOff>1438275</xdr:colOff>
                    <xdr:row>62</xdr:row>
                    <xdr:rowOff>161925</xdr:rowOff>
                  </from>
                  <to>
                    <xdr:col>1</xdr:col>
                    <xdr:colOff>3048000</xdr:colOff>
                    <xdr:row>64</xdr:row>
                    <xdr:rowOff>19050</xdr:rowOff>
                  </to>
                </anchor>
              </controlPr>
            </control>
          </mc:Choice>
        </mc:AlternateContent>
        <mc:AlternateContent xmlns:mc="http://schemas.openxmlformats.org/markup-compatibility/2006">
          <mc:Choice Requires="x14">
            <control shapeId="1057" r:id="rId15" name="Button 33">
              <controlPr defaultSize="0" autoFill="0" autoLine="0" autoPict="0" macro="[0]!Makro37">
                <anchor moveWithCells="1" sizeWithCells="1">
                  <from>
                    <xdr:col>1</xdr:col>
                    <xdr:colOff>1438275</xdr:colOff>
                    <xdr:row>64</xdr:row>
                    <xdr:rowOff>142875</xdr:rowOff>
                  </from>
                  <to>
                    <xdr:col>2</xdr:col>
                    <xdr:colOff>0</xdr:colOff>
                    <xdr:row>66</xdr:row>
                    <xdr:rowOff>0</xdr:rowOff>
                  </to>
                </anchor>
              </controlPr>
            </control>
          </mc:Choice>
        </mc:AlternateContent>
        <mc:AlternateContent xmlns:mc="http://schemas.openxmlformats.org/markup-compatibility/2006">
          <mc:Choice Requires="x14">
            <control shapeId="1058" r:id="rId16" name="Button 34">
              <controlPr defaultSize="0" autoFill="0" autoLine="0" autoPict="0" macro="[0]!Makro40">
                <anchor moveWithCells="1" sizeWithCells="1">
                  <from>
                    <xdr:col>1</xdr:col>
                    <xdr:colOff>1438275</xdr:colOff>
                    <xdr:row>67</xdr:row>
                    <xdr:rowOff>0</xdr:rowOff>
                  </from>
                  <to>
                    <xdr:col>2</xdr:col>
                    <xdr:colOff>0</xdr:colOff>
                    <xdr:row>68</xdr:row>
                    <xdr:rowOff>19050</xdr:rowOff>
                  </to>
                </anchor>
              </controlPr>
            </control>
          </mc:Choice>
        </mc:AlternateContent>
        <mc:AlternateContent xmlns:mc="http://schemas.openxmlformats.org/markup-compatibility/2006">
          <mc:Choice Requires="x14">
            <control shapeId="1059" r:id="rId17" name="Button 35">
              <controlPr defaultSize="0" autoFill="0" autoLine="0" autoPict="0" macro="[0]!Makro43">
                <anchor moveWithCells="1" sizeWithCells="1">
                  <from>
                    <xdr:col>1</xdr:col>
                    <xdr:colOff>1438275</xdr:colOff>
                    <xdr:row>69</xdr:row>
                    <xdr:rowOff>0</xdr:rowOff>
                  </from>
                  <to>
                    <xdr:col>2</xdr:col>
                    <xdr:colOff>0</xdr:colOff>
                    <xdr:row>70</xdr:row>
                    <xdr:rowOff>19050</xdr:rowOff>
                  </to>
                </anchor>
              </controlPr>
            </control>
          </mc:Choice>
        </mc:AlternateContent>
        <mc:AlternateContent xmlns:mc="http://schemas.openxmlformats.org/markup-compatibility/2006">
          <mc:Choice Requires="x14">
            <control shapeId="1060" r:id="rId18" name="Button 36">
              <controlPr defaultSize="0" autoFill="0" autoLine="0" autoPict="0" macro="[0]!Makro46">
                <anchor moveWithCells="1" sizeWithCells="1">
                  <from>
                    <xdr:col>1</xdr:col>
                    <xdr:colOff>1438275</xdr:colOff>
                    <xdr:row>74</xdr:row>
                    <xdr:rowOff>0</xdr:rowOff>
                  </from>
                  <to>
                    <xdr:col>2</xdr:col>
                    <xdr:colOff>0</xdr:colOff>
                    <xdr:row>75</xdr:row>
                    <xdr:rowOff>19050</xdr:rowOff>
                  </to>
                </anchor>
              </controlPr>
            </control>
          </mc:Choice>
        </mc:AlternateContent>
        <mc:AlternateContent xmlns:mc="http://schemas.openxmlformats.org/markup-compatibility/2006">
          <mc:Choice Requires="x14">
            <control shapeId="1062" r:id="rId19" name="Button 38">
              <controlPr defaultSize="0" autoFill="0" autoLine="0" autoPict="0" macro="[0]!Makro52">
                <anchor moveWithCells="1" sizeWithCells="1">
                  <from>
                    <xdr:col>1</xdr:col>
                    <xdr:colOff>1438275</xdr:colOff>
                    <xdr:row>78</xdr:row>
                    <xdr:rowOff>0</xdr:rowOff>
                  </from>
                  <to>
                    <xdr:col>1</xdr:col>
                    <xdr:colOff>3038475</xdr:colOff>
                    <xdr:row>79</xdr:row>
                    <xdr:rowOff>19050</xdr:rowOff>
                  </to>
                </anchor>
              </controlPr>
            </control>
          </mc:Choice>
        </mc:AlternateContent>
        <mc:AlternateContent xmlns:mc="http://schemas.openxmlformats.org/markup-compatibility/2006">
          <mc:Choice Requires="x14">
            <control shapeId="1063" r:id="rId20" name="Button 39">
              <controlPr defaultSize="0" autoFill="0" autoLine="0" autoPict="0" macro="[0]!Makro55">
                <anchor moveWithCells="1" sizeWithCells="1">
                  <from>
                    <xdr:col>1</xdr:col>
                    <xdr:colOff>1438275</xdr:colOff>
                    <xdr:row>80</xdr:row>
                    <xdr:rowOff>0</xdr:rowOff>
                  </from>
                  <to>
                    <xdr:col>2</xdr:col>
                    <xdr:colOff>0</xdr:colOff>
                    <xdr:row>81</xdr:row>
                    <xdr:rowOff>19050</xdr:rowOff>
                  </to>
                </anchor>
              </controlPr>
            </control>
          </mc:Choice>
        </mc:AlternateContent>
        <mc:AlternateContent xmlns:mc="http://schemas.openxmlformats.org/markup-compatibility/2006">
          <mc:Choice Requires="x14">
            <control shapeId="1064" r:id="rId21" name="Button 40">
              <controlPr defaultSize="0" autoFill="0" autoLine="0" autoPict="0" macro="[0]!Makro58">
                <anchor moveWithCells="1" sizeWithCells="1">
                  <from>
                    <xdr:col>1</xdr:col>
                    <xdr:colOff>1438275</xdr:colOff>
                    <xdr:row>81</xdr:row>
                    <xdr:rowOff>161925</xdr:rowOff>
                  </from>
                  <to>
                    <xdr:col>1</xdr:col>
                    <xdr:colOff>3038475</xdr:colOff>
                    <xdr:row>83</xdr:row>
                    <xdr:rowOff>19050</xdr:rowOff>
                  </to>
                </anchor>
              </controlPr>
            </control>
          </mc:Choice>
        </mc:AlternateContent>
        <mc:AlternateContent xmlns:mc="http://schemas.openxmlformats.org/markup-compatibility/2006">
          <mc:Choice Requires="x14">
            <control shapeId="1065" r:id="rId22" name="Button 41">
              <controlPr defaultSize="0" autoFill="0" autoLine="0" autoPict="0" macro="[0]!Makro19">
                <anchor moveWithCells="1" sizeWithCells="1">
                  <from>
                    <xdr:col>1</xdr:col>
                    <xdr:colOff>1438275</xdr:colOff>
                    <xdr:row>49</xdr:row>
                    <xdr:rowOff>152400</xdr:rowOff>
                  </from>
                  <to>
                    <xdr:col>1</xdr:col>
                    <xdr:colOff>3038475</xdr:colOff>
                    <xdr:row>51</xdr:row>
                    <xdr:rowOff>9525</xdr:rowOff>
                  </to>
                </anchor>
              </controlPr>
            </control>
          </mc:Choice>
        </mc:AlternateContent>
        <mc:AlternateContent xmlns:mc="http://schemas.openxmlformats.org/markup-compatibility/2006">
          <mc:Choice Requires="x14">
            <control shapeId="1066" r:id="rId23" name="Button 42">
              <controlPr defaultSize="0" autoFill="0" autoLine="0" autoPict="0" macro="[0]!Makro49">
                <anchor moveWithCells="1" sizeWithCells="1">
                  <from>
                    <xdr:col>1</xdr:col>
                    <xdr:colOff>1438275</xdr:colOff>
                    <xdr:row>76</xdr:row>
                    <xdr:rowOff>0</xdr:rowOff>
                  </from>
                  <to>
                    <xdr:col>2</xdr:col>
                    <xdr:colOff>0</xdr:colOff>
                    <xdr:row>77</xdr:row>
                    <xdr:rowOff>19050</xdr:rowOff>
                  </to>
                </anchor>
              </controlPr>
            </control>
          </mc:Choice>
        </mc:AlternateContent>
        <mc:AlternateContent xmlns:mc="http://schemas.openxmlformats.org/markup-compatibility/2006">
          <mc:Choice Requires="x14">
            <control shapeId="1067" r:id="rId24" name="Button 43">
              <controlPr defaultSize="0" autoFill="0" autoLine="0" autoPict="0" macro="[0]!start">
                <anchor moveWithCells="1" sizeWithCells="1">
                  <from>
                    <xdr:col>2</xdr:col>
                    <xdr:colOff>9525</xdr:colOff>
                    <xdr:row>29</xdr:row>
                    <xdr:rowOff>0</xdr:rowOff>
                  </from>
                  <to>
                    <xdr:col>3</xdr:col>
                    <xdr:colOff>0</xdr:colOff>
                    <xdr:row>30</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D313"/>
  <sheetViews>
    <sheetView workbookViewId="0">
      <selection activeCell="F133" sqref="F133"/>
    </sheetView>
  </sheetViews>
  <sheetFormatPr baseColWidth="10" defaultRowHeight="12.75" x14ac:dyDescent="0.2"/>
  <cols>
    <col min="1" max="1" width="12.7109375" style="8" customWidth="1"/>
    <col min="2" max="2" width="45.7109375" customWidth="1"/>
    <col min="3" max="4" width="12.7109375" style="5" customWidth="1"/>
  </cols>
  <sheetData>
    <row r="1" spans="1:4" x14ac:dyDescent="0.2">
      <c r="A1" s="29"/>
      <c r="B1" s="44" t="s">
        <v>105</v>
      </c>
      <c r="C1" s="45"/>
      <c r="D1" s="45"/>
    </row>
    <row r="2" spans="1:4" x14ac:dyDescent="0.2">
      <c r="A2" s="29"/>
      <c r="B2" s="30"/>
      <c r="C2" s="45"/>
      <c r="D2" s="45"/>
    </row>
    <row r="3" spans="1:4" x14ac:dyDescent="0.2">
      <c r="A3" s="29"/>
      <c r="B3" s="30"/>
      <c r="C3" s="45"/>
      <c r="D3" s="45"/>
    </row>
    <row r="4" spans="1:4" x14ac:dyDescent="0.2">
      <c r="A4" s="29"/>
      <c r="B4" s="30"/>
      <c r="C4" s="45"/>
      <c r="D4" s="45"/>
    </row>
    <row r="5" spans="1:4" x14ac:dyDescent="0.2">
      <c r="A5" s="29"/>
      <c r="B5" s="30"/>
      <c r="C5" s="45"/>
      <c r="D5" s="45"/>
    </row>
    <row r="6" spans="1:4" x14ac:dyDescent="0.2">
      <c r="A6" s="29"/>
      <c r="B6" s="30"/>
      <c r="C6" s="45"/>
      <c r="D6" s="45"/>
    </row>
    <row r="7" spans="1:4" x14ac:dyDescent="0.2">
      <c r="A7" s="29"/>
      <c r="B7" s="30"/>
      <c r="C7" s="45"/>
      <c r="D7" s="45"/>
    </row>
    <row r="8" spans="1:4" x14ac:dyDescent="0.2">
      <c r="A8" s="29"/>
      <c r="B8" s="30"/>
      <c r="C8" s="45"/>
      <c r="D8" s="45"/>
    </row>
    <row r="9" spans="1:4" x14ac:dyDescent="0.2">
      <c r="A9" s="29"/>
      <c r="B9" s="30"/>
      <c r="C9" s="45"/>
      <c r="D9" s="45"/>
    </row>
    <row r="10" spans="1:4" x14ac:dyDescent="0.2">
      <c r="A10" s="29"/>
      <c r="B10" s="30"/>
      <c r="C10" s="45"/>
      <c r="D10" s="45"/>
    </row>
    <row r="11" spans="1:4" x14ac:dyDescent="0.2">
      <c r="A11" s="29"/>
      <c r="B11" s="30"/>
      <c r="C11" s="45"/>
      <c r="D11" s="45"/>
    </row>
    <row r="12" spans="1:4" x14ac:dyDescent="0.2">
      <c r="A12" s="29"/>
      <c r="B12" s="30"/>
      <c r="C12" s="45"/>
      <c r="D12" s="45"/>
    </row>
    <row r="13" spans="1:4" ht="13.5" thickBot="1" x14ac:dyDescent="0.25">
      <c r="A13" s="29"/>
      <c r="B13" s="30"/>
      <c r="C13" s="45"/>
      <c r="D13" s="45"/>
    </row>
    <row r="14" spans="1:4" ht="15.75" x14ac:dyDescent="0.3">
      <c r="A14" s="29" t="s">
        <v>8</v>
      </c>
      <c r="B14" s="30" t="s">
        <v>106</v>
      </c>
      <c r="C14" s="45" t="s">
        <v>107</v>
      </c>
      <c r="D14" s="6">
        <v>7.5</v>
      </c>
    </row>
    <row r="15" spans="1:4" ht="15.75" x14ac:dyDescent="0.3">
      <c r="A15" s="29"/>
      <c r="B15" s="53" t="s">
        <v>156</v>
      </c>
      <c r="C15" s="45" t="s">
        <v>108</v>
      </c>
      <c r="D15" s="7">
        <v>65</v>
      </c>
    </row>
    <row r="16" spans="1:4" ht="15.75" x14ac:dyDescent="0.3">
      <c r="A16" s="29"/>
      <c r="B16" s="30"/>
      <c r="C16" s="45" t="s">
        <v>109</v>
      </c>
      <c r="D16" s="7">
        <v>145</v>
      </c>
    </row>
    <row r="17" spans="1:4" ht="15.75" x14ac:dyDescent="0.3">
      <c r="A17" s="29"/>
      <c r="B17" s="30" t="s">
        <v>110</v>
      </c>
      <c r="C17" s="45" t="s">
        <v>111</v>
      </c>
      <c r="D17" s="7">
        <v>40</v>
      </c>
    </row>
    <row r="18" spans="1:4" ht="15.75" x14ac:dyDescent="0.3">
      <c r="A18" s="29"/>
      <c r="B18" s="30"/>
      <c r="C18" s="45" t="s">
        <v>112</v>
      </c>
      <c r="D18" s="7">
        <v>45</v>
      </c>
    </row>
    <row r="19" spans="1:4" ht="16.5" thickBot="1" x14ac:dyDescent="0.35">
      <c r="A19" s="29"/>
      <c r="B19" s="30"/>
      <c r="C19" s="45" t="s">
        <v>113</v>
      </c>
      <c r="D19" s="56">
        <v>48</v>
      </c>
    </row>
    <row r="20" spans="1:4" ht="13.5" thickBot="1" x14ac:dyDescent="0.25">
      <c r="A20" s="29"/>
      <c r="B20" s="30"/>
      <c r="C20" s="45"/>
      <c r="D20" s="14"/>
    </row>
    <row r="21" spans="1:4" ht="16.5" thickBot="1" x14ac:dyDescent="0.35">
      <c r="A21" s="29"/>
      <c r="B21" s="30" t="s">
        <v>114</v>
      </c>
      <c r="C21" s="45" t="s">
        <v>115</v>
      </c>
      <c r="D21" s="57">
        <v>2.91344</v>
      </c>
    </row>
    <row r="22" spans="1:4" x14ac:dyDescent="0.2">
      <c r="A22" s="29"/>
      <c r="B22" s="30"/>
      <c r="C22" s="45"/>
      <c r="D22" s="45"/>
    </row>
    <row r="23" spans="1:4" x14ac:dyDescent="0.2">
      <c r="A23" s="29"/>
      <c r="B23" s="30" t="s">
        <v>116</v>
      </c>
      <c r="C23" s="45"/>
      <c r="D23" s="45"/>
    </row>
    <row r="24" spans="1:4" x14ac:dyDescent="0.2">
      <c r="A24" s="29"/>
      <c r="B24" s="30"/>
      <c r="C24" s="45"/>
      <c r="D24" s="45"/>
    </row>
    <row r="25" spans="1:4" x14ac:dyDescent="0.2">
      <c r="A25" s="29"/>
      <c r="B25" s="30"/>
      <c r="C25" s="45"/>
      <c r="D25" s="45"/>
    </row>
    <row r="26" spans="1:4" x14ac:dyDescent="0.2">
      <c r="A26" s="29"/>
      <c r="B26" s="30"/>
      <c r="C26" s="45"/>
      <c r="D26" s="45"/>
    </row>
    <row r="27" spans="1:4" x14ac:dyDescent="0.2">
      <c r="A27" s="29" t="s">
        <v>8</v>
      </c>
      <c r="B27" s="44" t="s">
        <v>117</v>
      </c>
      <c r="C27" s="45"/>
      <c r="D27" s="45"/>
    </row>
    <row r="28" spans="1:4" x14ac:dyDescent="0.2">
      <c r="A28" s="29"/>
      <c r="B28" s="30"/>
      <c r="C28" s="45"/>
      <c r="D28" s="45"/>
    </row>
    <row r="29" spans="1:4" x14ac:dyDescent="0.2">
      <c r="A29" s="29"/>
      <c r="B29" s="30"/>
      <c r="C29" s="45"/>
      <c r="D29" s="45"/>
    </row>
    <row r="30" spans="1:4" x14ac:dyDescent="0.2">
      <c r="A30" s="29"/>
      <c r="B30" s="30"/>
      <c r="C30" s="45"/>
      <c r="D30" s="45"/>
    </row>
    <row r="31" spans="1:4" x14ac:dyDescent="0.2">
      <c r="A31" s="29"/>
      <c r="B31" s="30"/>
      <c r="C31" s="45"/>
      <c r="D31" s="45"/>
    </row>
    <row r="32" spans="1:4" x14ac:dyDescent="0.2">
      <c r="A32" s="29"/>
      <c r="B32" s="30"/>
      <c r="C32" s="45"/>
      <c r="D32" s="45"/>
    </row>
    <row r="33" spans="1:4" x14ac:dyDescent="0.2">
      <c r="A33" s="29"/>
      <c r="B33" s="30"/>
      <c r="C33" s="45"/>
      <c r="D33" s="45"/>
    </row>
    <row r="34" spans="1:4" x14ac:dyDescent="0.2">
      <c r="A34" s="29"/>
      <c r="B34" s="30"/>
      <c r="C34" s="45"/>
      <c r="D34" s="45"/>
    </row>
    <row r="35" spans="1:4" x14ac:dyDescent="0.2">
      <c r="A35" s="29"/>
      <c r="B35" s="30"/>
      <c r="C35" s="45"/>
      <c r="D35" s="45"/>
    </row>
    <row r="36" spans="1:4" x14ac:dyDescent="0.2">
      <c r="A36" s="29"/>
      <c r="B36" s="30"/>
      <c r="C36" s="45"/>
      <c r="D36" s="45"/>
    </row>
    <row r="37" spans="1:4" x14ac:dyDescent="0.2">
      <c r="A37" s="29"/>
      <c r="B37" s="30"/>
      <c r="C37" s="45"/>
      <c r="D37" s="45"/>
    </row>
    <row r="38" spans="1:4" x14ac:dyDescent="0.2">
      <c r="A38" s="29"/>
      <c r="B38" s="30"/>
      <c r="C38" s="45"/>
      <c r="D38" s="45"/>
    </row>
    <row r="39" spans="1:4" ht="13.5" thickBot="1" x14ac:dyDescent="0.25">
      <c r="A39" s="29"/>
      <c r="B39" s="30"/>
      <c r="C39" s="45"/>
      <c r="D39" s="45"/>
    </row>
    <row r="40" spans="1:4" ht="15.75" x14ac:dyDescent="0.3">
      <c r="A40" s="29"/>
      <c r="B40" s="30" t="s">
        <v>106</v>
      </c>
      <c r="C40" s="45" t="s">
        <v>108</v>
      </c>
      <c r="D40" s="6">
        <v>0</v>
      </c>
    </row>
    <row r="41" spans="1:4" ht="15.75" x14ac:dyDescent="0.3">
      <c r="A41" s="29"/>
      <c r="B41" s="30"/>
      <c r="C41" s="45" t="s">
        <v>118</v>
      </c>
      <c r="D41" s="7">
        <v>80</v>
      </c>
    </row>
    <row r="42" spans="1:4" ht="16.5" thickBot="1" x14ac:dyDescent="0.35">
      <c r="A42" s="29"/>
      <c r="B42" s="30"/>
      <c r="C42" s="45" t="s">
        <v>119</v>
      </c>
      <c r="D42" s="56">
        <v>65</v>
      </c>
    </row>
    <row r="43" spans="1:4" ht="15.75" x14ac:dyDescent="0.3">
      <c r="A43" s="29"/>
      <c r="B43" s="30"/>
      <c r="C43" s="45" t="s">
        <v>120</v>
      </c>
      <c r="D43" s="46">
        <f>D16</f>
        <v>145</v>
      </c>
    </row>
    <row r="44" spans="1:4" ht="13.5" thickBot="1" x14ac:dyDescent="0.25">
      <c r="A44" s="29"/>
      <c r="B44" s="30" t="s">
        <v>110</v>
      </c>
      <c r="C44" s="45"/>
      <c r="D44" s="50"/>
    </row>
    <row r="45" spans="1:4" ht="15.75" x14ac:dyDescent="0.3">
      <c r="A45" s="29"/>
      <c r="B45" s="30"/>
      <c r="C45" s="45" t="s">
        <v>112</v>
      </c>
      <c r="D45" s="58">
        <v>45</v>
      </c>
    </row>
    <row r="46" spans="1:4" ht="16.5" thickBot="1" x14ac:dyDescent="0.35">
      <c r="A46" s="29"/>
      <c r="B46" s="30"/>
      <c r="C46" s="45" t="s">
        <v>113</v>
      </c>
      <c r="D46" s="59">
        <v>48</v>
      </c>
    </row>
    <row r="47" spans="1:4" ht="13.5" thickBot="1" x14ac:dyDescent="0.25">
      <c r="A47" s="29"/>
      <c r="B47" s="30"/>
      <c r="C47" s="45"/>
      <c r="D47" s="45"/>
    </row>
    <row r="48" spans="1:4" ht="16.5" thickBot="1" x14ac:dyDescent="0.35">
      <c r="A48" s="29"/>
      <c r="B48" s="30" t="s">
        <v>114</v>
      </c>
      <c r="C48" s="45" t="s">
        <v>121</v>
      </c>
      <c r="D48" s="57">
        <v>-2.5</v>
      </c>
    </row>
    <row r="49" spans="1:4" x14ac:dyDescent="0.2">
      <c r="A49" s="29"/>
      <c r="B49" s="30"/>
      <c r="C49" s="45"/>
      <c r="D49" s="45"/>
    </row>
    <row r="50" spans="1:4" x14ac:dyDescent="0.2">
      <c r="A50" s="29"/>
      <c r="B50" s="30" t="s">
        <v>116</v>
      </c>
      <c r="C50" s="45"/>
      <c r="D50" s="45"/>
    </row>
    <row r="51" spans="1:4" x14ac:dyDescent="0.2">
      <c r="A51" s="29"/>
      <c r="B51" s="30"/>
      <c r="C51" s="45"/>
      <c r="D51" s="45"/>
    </row>
    <row r="52" spans="1:4" x14ac:dyDescent="0.2">
      <c r="A52" s="29"/>
      <c r="B52" s="30"/>
      <c r="C52" s="45"/>
      <c r="D52" s="45"/>
    </row>
    <row r="53" spans="1:4" x14ac:dyDescent="0.2">
      <c r="A53" s="29"/>
      <c r="B53" s="44" t="s">
        <v>122</v>
      </c>
      <c r="C53" s="45"/>
      <c r="D53" s="45"/>
    </row>
    <row r="54" spans="1:4" x14ac:dyDescent="0.2">
      <c r="A54" s="29"/>
      <c r="B54" s="30"/>
      <c r="C54" s="45"/>
      <c r="D54" s="45"/>
    </row>
    <row r="55" spans="1:4" x14ac:dyDescent="0.2">
      <c r="A55" s="29"/>
      <c r="B55" s="30"/>
      <c r="C55" s="45"/>
      <c r="D55" s="45"/>
    </row>
    <row r="56" spans="1:4" x14ac:dyDescent="0.2">
      <c r="A56" s="29"/>
      <c r="B56" s="30"/>
      <c r="C56" s="45"/>
      <c r="D56" s="45"/>
    </row>
    <row r="57" spans="1:4" x14ac:dyDescent="0.2">
      <c r="A57" s="29"/>
      <c r="B57" s="30"/>
      <c r="C57" s="45"/>
      <c r="D57" s="45"/>
    </row>
    <row r="58" spans="1:4" x14ac:dyDescent="0.2">
      <c r="A58" s="29"/>
      <c r="B58" s="30"/>
      <c r="C58" s="45"/>
      <c r="D58" s="45"/>
    </row>
    <row r="59" spans="1:4" x14ac:dyDescent="0.2">
      <c r="A59" s="29"/>
      <c r="B59" s="30"/>
      <c r="C59" s="45"/>
      <c r="D59" s="45"/>
    </row>
    <row r="60" spans="1:4" x14ac:dyDescent="0.2">
      <c r="A60" s="29"/>
      <c r="B60" s="30"/>
      <c r="C60" s="45"/>
      <c r="D60" s="45"/>
    </row>
    <row r="61" spans="1:4" x14ac:dyDescent="0.2">
      <c r="A61" s="29"/>
      <c r="B61" s="30"/>
      <c r="C61" s="45"/>
      <c r="D61" s="45"/>
    </row>
    <row r="62" spans="1:4" x14ac:dyDescent="0.2">
      <c r="A62" s="29"/>
      <c r="B62" s="30"/>
      <c r="C62" s="45"/>
      <c r="D62" s="45"/>
    </row>
    <row r="63" spans="1:4" x14ac:dyDescent="0.2">
      <c r="A63" s="29"/>
      <c r="B63" s="30"/>
      <c r="C63" s="45"/>
      <c r="D63" s="45"/>
    </row>
    <row r="64" spans="1:4" x14ac:dyDescent="0.2">
      <c r="A64" s="29"/>
      <c r="B64" s="30"/>
      <c r="C64" s="45"/>
      <c r="D64" s="45"/>
    </row>
    <row r="65" spans="1:4" ht="13.5" thickBot="1" x14ac:dyDescent="0.25">
      <c r="A65" s="29"/>
      <c r="B65" s="30"/>
      <c r="C65" s="45"/>
      <c r="D65" s="45"/>
    </row>
    <row r="66" spans="1:4" ht="15.75" x14ac:dyDescent="0.3">
      <c r="A66" s="29" t="s">
        <v>8</v>
      </c>
      <c r="B66" s="30" t="s">
        <v>106</v>
      </c>
      <c r="C66" s="45" t="s">
        <v>107</v>
      </c>
      <c r="D66" s="6">
        <v>1</v>
      </c>
    </row>
    <row r="67" spans="1:4" ht="15.75" x14ac:dyDescent="0.3">
      <c r="A67" s="29"/>
      <c r="B67" s="30"/>
      <c r="C67" s="45" t="s">
        <v>108</v>
      </c>
      <c r="D67" s="7">
        <v>2</v>
      </c>
    </row>
    <row r="68" spans="1:4" ht="15.75" x14ac:dyDescent="0.3">
      <c r="A68" s="29"/>
      <c r="B68" s="30"/>
      <c r="C68" s="45" t="s">
        <v>118</v>
      </c>
      <c r="D68" s="7">
        <v>3</v>
      </c>
    </row>
    <row r="69" spans="1:4" ht="16.5" thickBot="1" x14ac:dyDescent="0.35">
      <c r="A69" s="29"/>
      <c r="B69" s="30"/>
      <c r="C69" s="45" t="s">
        <v>119</v>
      </c>
      <c r="D69" s="56">
        <v>4</v>
      </c>
    </row>
    <row r="70" spans="1:4" ht="16.5" thickBot="1" x14ac:dyDescent="0.35">
      <c r="A70" s="29"/>
      <c r="B70" s="30"/>
      <c r="C70" s="45" t="s">
        <v>120</v>
      </c>
      <c r="D70" s="46">
        <f>D16</f>
        <v>145</v>
      </c>
    </row>
    <row r="71" spans="1:4" ht="15.75" x14ac:dyDescent="0.3">
      <c r="A71" s="29"/>
      <c r="B71" s="30" t="s">
        <v>110</v>
      </c>
      <c r="C71" s="45" t="s">
        <v>111</v>
      </c>
      <c r="D71" s="58">
        <v>1</v>
      </c>
    </row>
    <row r="72" spans="1:4" ht="15.75" x14ac:dyDescent="0.3">
      <c r="A72" s="29"/>
      <c r="B72" s="30"/>
      <c r="C72" s="45" t="s">
        <v>112</v>
      </c>
      <c r="D72" s="60">
        <v>2</v>
      </c>
    </row>
    <row r="73" spans="1:4" ht="16.5" thickBot="1" x14ac:dyDescent="0.35">
      <c r="A73" s="29"/>
      <c r="B73" s="30"/>
      <c r="C73" s="45" t="s">
        <v>113</v>
      </c>
      <c r="D73" s="59">
        <v>3</v>
      </c>
    </row>
    <row r="74" spans="1:4" ht="13.5" thickBot="1" x14ac:dyDescent="0.25">
      <c r="A74" s="29"/>
      <c r="B74" s="30"/>
      <c r="C74" s="45"/>
      <c r="D74" s="45"/>
    </row>
    <row r="75" spans="1:4" ht="16.5" thickBot="1" x14ac:dyDescent="0.35">
      <c r="A75" s="29"/>
      <c r="B75" s="30" t="s">
        <v>114</v>
      </c>
      <c r="C75" s="45" t="s">
        <v>121</v>
      </c>
      <c r="D75" s="61">
        <v>0</v>
      </c>
    </row>
    <row r="76" spans="1:4" x14ac:dyDescent="0.2">
      <c r="A76" s="29"/>
      <c r="B76" s="30"/>
      <c r="C76" s="45"/>
      <c r="D76" s="45"/>
    </row>
    <row r="77" spans="1:4" x14ac:dyDescent="0.2">
      <c r="A77" s="29"/>
      <c r="B77" s="30" t="s">
        <v>116</v>
      </c>
      <c r="C77" s="45"/>
      <c r="D77" s="45"/>
    </row>
    <row r="78" spans="1:4" x14ac:dyDescent="0.2">
      <c r="A78" s="29"/>
      <c r="B78" s="30"/>
      <c r="C78" s="45"/>
      <c r="D78" s="45"/>
    </row>
    <row r="79" spans="1:4" x14ac:dyDescent="0.2">
      <c r="A79" s="29"/>
      <c r="B79" s="30"/>
      <c r="C79" s="45"/>
      <c r="D79" s="45"/>
    </row>
    <row r="80" spans="1:4" x14ac:dyDescent="0.2">
      <c r="A80" s="29"/>
      <c r="B80" s="30"/>
      <c r="C80" s="45"/>
      <c r="D80" s="45"/>
    </row>
    <row r="81" spans="1:4" x14ac:dyDescent="0.2">
      <c r="A81" s="29"/>
      <c r="B81" s="44" t="s">
        <v>123</v>
      </c>
      <c r="C81" s="45"/>
      <c r="D81" s="45"/>
    </row>
    <row r="82" spans="1:4" x14ac:dyDescent="0.2">
      <c r="A82" s="29"/>
      <c r="B82" s="30"/>
      <c r="C82" s="45"/>
      <c r="D82" s="45"/>
    </row>
    <row r="83" spans="1:4" x14ac:dyDescent="0.2">
      <c r="A83" s="29"/>
      <c r="B83" s="30"/>
      <c r="C83" s="45"/>
      <c r="D83" s="45"/>
    </row>
    <row r="84" spans="1:4" x14ac:dyDescent="0.2">
      <c r="A84" s="29"/>
      <c r="B84" s="30"/>
      <c r="C84" s="45"/>
      <c r="D84" s="45"/>
    </row>
    <row r="85" spans="1:4" x14ac:dyDescent="0.2">
      <c r="A85" s="29"/>
      <c r="B85" s="30"/>
      <c r="C85" s="45"/>
      <c r="D85" s="45"/>
    </row>
    <row r="86" spans="1:4" x14ac:dyDescent="0.2">
      <c r="A86" s="29"/>
      <c r="B86" s="30"/>
      <c r="C86" s="45"/>
      <c r="D86" s="45"/>
    </row>
    <row r="87" spans="1:4" x14ac:dyDescent="0.2">
      <c r="A87" s="29"/>
      <c r="B87" s="30"/>
      <c r="C87" s="45"/>
      <c r="D87" s="45"/>
    </row>
    <row r="88" spans="1:4" x14ac:dyDescent="0.2">
      <c r="A88" s="29"/>
      <c r="B88" s="30"/>
      <c r="C88" s="45"/>
      <c r="D88" s="45"/>
    </row>
    <row r="89" spans="1:4" x14ac:dyDescent="0.2">
      <c r="A89" s="29"/>
      <c r="B89" s="30"/>
      <c r="C89" s="45"/>
      <c r="D89" s="45"/>
    </row>
    <row r="90" spans="1:4" x14ac:dyDescent="0.2">
      <c r="A90" s="29"/>
      <c r="B90" s="30"/>
      <c r="C90" s="45"/>
      <c r="D90" s="45"/>
    </row>
    <row r="91" spans="1:4" x14ac:dyDescent="0.2">
      <c r="A91" s="29"/>
      <c r="B91" s="30"/>
      <c r="C91" s="45"/>
      <c r="D91" s="45"/>
    </row>
    <row r="92" spans="1:4" x14ac:dyDescent="0.2">
      <c r="A92" s="29"/>
      <c r="B92" s="30"/>
      <c r="C92" s="45"/>
      <c r="D92" s="45"/>
    </row>
    <row r="93" spans="1:4" ht="13.5" thickBot="1" x14ac:dyDescent="0.25">
      <c r="A93" s="29"/>
      <c r="B93" s="30"/>
      <c r="C93" s="45"/>
      <c r="D93" s="45"/>
    </row>
    <row r="94" spans="1:4" ht="15.75" x14ac:dyDescent="0.3">
      <c r="A94" s="29" t="s">
        <v>8</v>
      </c>
      <c r="B94" s="30" t="s">
        <v>106</v>
      </c>
      <c r="C94" s="45" t="s">
        <v>108</v>
      </c>
      <c r="D94" s="6">
        <v>1</v>
      </c>
    </row>
    <row r="95" spans="1:4" ht="15.75" x14ac:dyDescent="0.3">
      <c r="A95" s="29"/>
      <c r="B95" s="30"/>
      <c r="C95" s="45" t="s">
        <v>118</v>
      </c>
      <c r="D95" s="7">
        <v>2</v>
      </c>
    </row>
    <row r="96" spans="1:4" ht="16.5" thickBot="1" x14ac:dyDescent="0.35">
      <c r="A96" s="29"/>
      <c r="B96" s="30"/>
      <c r="C96" s="45" t="s">
        <v>119</v>
      </c>
      <c r="D96" s="56">
        <v>3</v>
      </c>
    </row>
    <row r="97" spans="1:4" ht="16.5" thickBot="1" x14ac:dyDescent="0.35">
      <c r="A97" s="29"/>
      <c r="B97" s="30"/>
      <c r="C97" s="45" t="s">
        <v>120</v>
      </c>
      <c r="D97" s="46">
        <f>D16</f>
        <v>145</v>
      </c>
    </row>
    <row r="98" spans="1:4" ht="13.5" thickBot="1" x14ac:dyDescent="0.25">
      <c r="A98" s="29"/>
      <c r="B98" s="30" t="s">
        <v>124</v>
      </c>
      <c r="C98" s="45" t="s">
        <v>125</v>
      </c>
      <c r="D98" s="57">
        <v>1</v>
      </c>
    </row>
    <row r="99" spans="1:4" ht="13.5" thickBot="1" x14ac:dyDescent="0.25">
      <c r="A99" s="29"/>
      <c r="B99" s="30" t="s">
        <v>110</v>
      </c>
      <c r="C99" s="45"/>
      <c r="D99" s="51"/>
    </row>
    <row r="100" spans="1:4" ht="15.75" x14ac:dyDescent="0.3">
      <c r="A100" s="29"/>
      <c r="B100" s="30"/>
      <c r="C100" s="45" t="s">
        <v>112</v>
      </c>
      <c r="D100" s="6">
        <v>1</v>
      </c>
    </row>
    <row r="101" spans="1:4" ht="16.5" thickBot="1" x14ac:dyDescent="0.35">
      <c r="A101" s="29"/>
      <c r="B101" s="30"/>
      <c r="C101" s="45" t="s">
        <v>113</v>
      </c>
      <c r="D101" s="56">
        <v>2</v>
      </c>
    </row>
    <row r="102" spans="1:4" ht="13.5" thickBot="1" x14ac:dyDescent="0.25">
      <c r="A102" s="29"/>
      <c r="B102" s="30"/>
      <c r="C102" s="45"/>
      <c r="D102" s="45"/>
    </row>
    <row r="103" spans="1:4" ht="16.5" thickBot="1" x14ac:dyDescent="0.35">
      <c r="A103" s="29"/>
      <c r="B103" s="30" t="s">
        <v>114</v>
      </c>
      <c r="C103" s="45" t="s">
        <v>121</v>
      </c>
      <c r="D103" s="57">
        <v>0</v>
      </c>
    </row>
    <row r="104" spans="1:4" x14ac:dyDescent="0.2">
      <c r="A104" s="29"/>
      <c r="B104" s="30"/>
      <c r="C104" s="45"/>
      <c r="D104" s="45"/>
    </row>
    <row r="105" spans="1:4" x14ac:dyDescent="0.2">
      <c r="A105" s="29"/>
      <c r="B105" s="30" t="s">
        <v>116</v>
      </c>
      <c r="C105" s="45"/>
      <c r="D105" s="45"/>
    </row>
    <row r="106" spans="1:4" x14ac:dyDescent="0.2">
      <c r="A106" s="29"/>
      <c r="B106" s="30"/>
      <c r="C106" s="45"/>
      <c r="D106" s="45"/>
    </row>
    <row r="107" spans="1:4" x14ac:dyDescent="0.2">
      <c r="A107" s="29"/>
      <c r="B107" s="30"/>
      <c r="C107" s="45"/>
      <c r="D107" s="45"/>
    </row>
    <row r="108" spans="1:4" x14ac:dyDescent="0.2">
      <c r="A108" s="29"/>
      <c r="B108" s="30"/>
      <c r="C108" s="45"/>
      <c r="D108" s="45"/>
    </row>
    <row r="109" spans="1:4" x14ac:dyDescent="0.2">
      <c r="A109" s="29"/>
      <c r="B109" s="44" t="s">
        <v>126</v>
      </c>
      <c r="C109" s="45"/>
      <c r="D109" s="45"/>
    </row>
    <row r="110" spans="1:4" x14ac:dyDescent="0.2">
      <c r="A110" s="29"/>
      <c r="B110" s="30"/>
      <c r="C110" s="45"/>
      <c r="D110" s="45"/>
    </row>
    <row r="111" spans="1:4" x14ac:dyDescent="0.2">
      <c r="A111" s="29"/>
      <c r="B111" s="30"/>
      <c r="C111" s="45"/>
      <c r="D111" s="45"/>
    </row>
    <row r="112" spans="1:4" x14ac:dyDescent="0.2">
      <c r="A112" s="29"/>
      <c r="B112" s="30"/>
      <c r="C112" s="45"/>
      <c r="D112" s="45"/>
    </row>
    <row r="113" spans="1:4" x14ac:dyDescent="0.2">
      <c r="A113" s="29"/>
      <c r="B113" s="30"/>
      <c r="C113" s="45"/>
      <c r="D113" s="45"/>
    </row>
    <row r="114" spans="1:4" x14ac:dyDescent="0.2">
      <c r="A114" s="29"/>
      <c r="B114" s="30"/>
      <c r="C114" s="45"/>
      <c r="D114" s="45"/>
    </row>
    <row r="115" spans="1:4" x14ac:dyDescent="0.2">
      <c r="A115" s="29"/>
      <c r="B115" s="30"/>
      <c r="C115" s="45"/>
      <c r="D115" s="45"/>
    </row>
    <row r="116" spans="1:4" x14ac:dyDescent="0.2">
      <c r="A116" s="29"/>
      <c r="B116" s="30"/>
      <c r="C116" s="45"/>
      <c r="D116" s="45"/>
    </row>
    <row r="117" spans="1:4" x14ac:dyDescent="0.2">
      <c r="A117" s="29"/>
      <c r="B117" s="30"/>
      <c r="C117" s="45"/>
      <c r="D117" s="45"/>
    </row>
    <row r="118" spans="1:4" x14ac:dyDescent="0.2">
      <c r="A118" s="29"/>
      <c r="B118" s="30"/>
      <c r="C118" s="45"/>
      <c r="D118" s="45"/>
    </row>
    <row r="119" spans="1:4" x14ac:dyDescent="0.2">
      <c r="A119" s="29"/>
      <c r="B119" s="30"/>
      <c r="C119" s="45"/>
      <c r="D119" s="45"/>
    </row>
    <row r="120" spans="1:4" x14ac:dyDescent="0.2">
      <c r="A120" s="29"/>
      <c r="B120" s="30"/>
      <c r="C120" s="45"/>
      <c r="D120" s="45"/>
    </row>
    <row r="121" spans="1:4" ht="13.5" thickBot="1" x14ac:dyDescent="0.25">
      <c r="A121" s="29"/>
      <c r="B121" s="30"/>
      <c r="C121" s="45"/>
      <c r="D121" s="45"/>
    </row>
    <row r="122" spans="1:4" ht="15.75" x14ac:dyDescent="0.3">
      <c r="A122" s="29" t="s">
        <v>8</v>
      </c>
      <c r="B122" s="30" t="s">
        <v>106</v>
      </c>
      <c r="C122" s="45" t="s">
        <v>107</v>
      </c>
      <c r="D122" s="6">
        <v>1</v>
      </c>
    </row>
    <row r="123" spans="1:4" ht="15.75" x14ac:dyDescent="0.3">
      <c r="A123" s="29"/>
      <c r="B123" s="30"/>
      <c r="C123" s="45" t="s">
        <v>108</v>
      </c>
      <c r="D123" s="7">
        <v>2</v>
      </c>
    </row>
    <row r="124" spans="1:4" ht="15.75" x14ac:dyDescent="0.3">
      <c r="A124" s="29"/>
      <c r="B124" s="30"/>
      <c r="C124" s="45" t="s">
        <v>118</v>
      </c>
      <c r="D124" s="7">
        <v>3</v>
      </c>
    </row>
    <row r="125" spans="1:4" ht="16.5" thickBot="1" x14ac:dyDescent="0.35">
      <c r="A125" s="29"/>
      <c r="B125" s="30"/>
      <c r="C125" s="45" t="s">
        <v>119</v>
      </c>
      <c r="D125" s="56">
        <v>4</v>
      </c>
    </row>
    <row r="126" spans="1:4" ht="16.5" thickBot="1" x14ac:dyDescent="0.35">
      <c r="A126" s="29"/>
      <c r="B126" s="30"/>
      <c r="C126" s="45" t="s">
        <v>120</v>
      </c>
      <c r="D126" s="46">
        <f>D16</f>
        <v>145</v>
      </c>
    </row>
    <row r="127" spans="1:4" x14ac:dyDescent="0.2">
      <c r="A127" s="29"/>
      <c r="B127" s="30" t="s">
        <v>124</v>
      </c>
      <c r="C127" s="45" t="s">
        <v>125</v>
      </c>
      <c r="D127" s="6">
        <v>1</v>
      </c>
    </row>
    <row r="128" spans="1:4" ht="15.75" x14ac:dyDescent="0.3">
      <c r="A128" s="29"/>
      <c r="B128" s="30" t="s">
        <v>110</v>
      </c>
      <c r="C128" s="45" t="s">
        <v>111</v>
      </c>
      <c r="D128" s="7">
        <v>2</v>
      </c>
    </row>
    <row r="129" spans="1:4" ht="15.75" x14ac:dyDescent="0.3">
      <c r="A129" s="29"/>
      <c r="B129" s="30"/>
      <c r="C129" s="45" t="s">
        <v>112</v>
      </c>
      <c r="D129" s="7">
        <v>3</v>
      </c>
    </row>
    <row r="130" spans="1:4" ht="16.5" thickBot="1" x14ac:dyDescent="0.35">
      <c r="A130" s="29"/>
      <c r="B130" s="30"/>
      <c r="C130" s="45" t="s">
        <v>113</v>
      </c>
      <c r="D130" s="56">
        <v>4</v>
      </c>
    </row>
    <row r="131" spans="1:4" ht="13.5" thickBot="1" x14ac:dyDescent="0.25">
      <c r="A131" s="29"/>
      <c r="B131" s="30"/>
      <c r="C131" s="45"/>
      <c r="D131" s="45"/>
    </row>
    <row r="132" spans="1:4" ht="16.5" thickBot="1" x14ac:dyDescent="0.35">
      <c r="A132" s="29"/>
      <c r="B132" s="30" t="s">
        <v>114</v>
      </c>
      <c r="C132" s="45" t="s">
        <v>121</v>
      </c>
      <c r="D132" s="57">
        <v>0</v>
      </c>
    </row>
    <row r="133" spans="1:4" x14ac:dyDescent="0.2">
      <c r="A133" s="29"/>
      <c r="B133" s="30"/>
      <c r="C133" s="45"/>
      <c r="D133" s="45"/>
    </row>
    <row r="134" spans="1:4" x14ac:dyDescent="0.2">
      <c r="A134" s="29"/>
      <c r="B134" s="30" t="s">
        <v>116</v>
      </c>
      <c r="C134" s="45"/>
      <c r="D134" s="45"/>
    </row>
    <row r="135" spans="1:4" x14ac:dyDescent="0.2">
      <c r="A135" s="29"/>
      <c r="B135" s="30"/>
      <c r="C135" s="45"/>
      <c r="D135" s="45"/>
    </row>
    <row r="136" spans="1:4" x14ac:dyDescent="0.2">
      <c r="A136" s="29"/>
      <c r="B136" s="30"/>
      <c r="C136" s="45"/>
      <c r="D136" s="45"/>
    </row>
    <row r="137" spans="1:4" x14ac:dyDescent="0.2">
      <c r="A137" s="29"/>
      <c r="B137" s="44" t="s">
        <v>127</v>
      </c>
      <c r="C137" s="45"/>
      <c r="D137" s="45"/>
    </row>
    <row r="138" spans="1:4" x14ac:dyDescent="0.2">
      <c r="A138" s="29"/>
      <c r="B138" s="30"/>
      <c r="C138" s="45"/>
      <c r="D138" s="45"/>
    </row>
    <row r="139" spans="1:4" x14ac:dyDescent="0.2">
      <c r="A139" s="29"/>
      <c r="B139" s="30"/>
      <c r="C139" s="45"/>
      <c r="D139" s="45"/>
    </row>
    <row r="140" spans="1:4" x14ac:dyDescent="0.2">
      <c r="A140" s="29"/>
      <c r="B140" s="30"/>
      <c r="C140" s="45"/>
      <c r="D140" s="45"/>
    </row>
    <row r="141" spans="1:4" x14ac:dyDescent="0.2">
      <c r="A141" s="29"/>
      <c r="B141" s="30"/>
      <c r="C141" s="45"/>
      <c r="D141" s="45"/>
    </row>
    <row r="142" spans="1:4" x14ac:dyDescent="0.2">
      <c r="A142" s="29"/>
      <c r="B142" s="30"/>
      <c r="C142" s="45"/>
      <c r="D142" s="45"/>
    </row>
    <row r="143" spans="1:4" x14ac:dyDescent="0.2">
      <c r="A143" s="29"/>
      <c r="B143" s="30"/>
      <c r="C143" s="45"/>
      <c r="D143" s="45"/>
    </row>
    <row r="144" spans="1:4" x14ac:dyDescent="0.2">
      <c r="A144" s="29"/>
      <c r="B144" s="30"/>
      <c r="C144" s="45"/>
      <c r="D144" s="45"/>
    </row>
    <row r="145" spans="1:4" x14ac:dyDescent="0.2">
      <c r="A145" s="29"/>
      <c r="B145" s="30"/>
      <c r="C145" s="45"/>
      <c r="D145" s="45"/>
    </row>
    <row r="146" spans="1:4" x14ac:dyDescent="0.2">
      <c r="A146" s="29"/>
      <c r="B146" s="30"/>
      <c r="C146" s="45"/>
      <c r="D146" s="45"/>
    </row>
    <row r="147" spans="1:4" x14ac:dyDescent="0.2">
      <c r="A147" s="29"/>
      <c r="B147" s="30"/>
      <c r="C147" s="45"/>
      <c r="D147" s="45"/>
    </row>
    <row r="148" spans="1:4" x14ac:dyDescent="0.2">
      <c r="A148" s="29"/>
      <c r="B148" s="30"/>
      <c r="C148" s="45"/>
      <c r="D148" s="45"/>
    </row>
    <row r="149" spans="1:4" ht="13.5" thickBot="1" x14ac:dyDescent="0.25">
      <c r="A149" s="29"/>
      <c r="B149" s="30"/>
      <c r="C149" s="45"/>
      <c r="D149" s="45"/>
    </row>
    <row r="150" spans="1:4" ht="15.75" x14ac:dyDescent="0.3">
      <c r="A150" s="29" t="s">
        <v>8</v>
      </c>
      <c r="B150" s="30" t="s">
        <v>106</v>
      </c>
      <c r="C150" s="45" t="s">
        <v>107</v>
      </c>
      <c r="D150" s="6">
        <v>7.5</v>
      </c>
    </row>
    <row r="151" spans="1:4" ht="15.75" x14ac:dyDescent="0.3">
      <c r="A151" s="29"/>
      <c r="B151" s="53" t="s">
        <v>156</v>
      </c>
      <c r="C151" s="45" t="s">
        <v>108</v>
      </c>
      <c r="D151" s="7">
        <v>65</v>
      </c>
    </row>
    <row r="152" spans="1:4" ht="15.75" x14ac:dyDescent="0.3">
      <c r="A152" s="29"/>
      <c r="B152" s="30"/>
      <c r="C152" s="45" t="s">
        <v>128</v>
      </c>
      <c r="D152" s="7">
        <v>145</v>
      </c>
    </row>
    <row r="153" spans="1:4" ht="15.75" x14ac:dyDescent="0.3">
      <c r="A153" s="29"/>
      <c r="B153" s="30" t="s">
        <v>110</v>
      </c>
      <c r="C153" s="45" t="s">
        <v>111</v>
      </c>
      <c r="D153" s="7">
        <v>40</v>
      </c>
    </row>
    <row r="154" spans="1:4" ht="15.75" x14ac:dyDescent="0.3">
      <c r="A154" s="29"/>
      <c r="B154" s="30"/>
      <c r="C154" s="45" t="s">
        <v>112</v>
      </c>
      <c r="D154" s="7">
        <v>45</v>
      </c>
    </row>
    <row r="155" spans="1:4" ht="16.5" thickBot="1" x14ac:dyDescent="0.35">
      <c r="A155" s="29"/>
      <c r="B155" s="30"/>
      <c r="C155" s="45" t="s">
        <v>113</v>
      </c>
      <c r="D155" s="56">
        <v>48</v>
      </c>
    </row>
    <row r="156" spans="1:4" ht="13.5" thickBot="1" x14ac:dyDescent="0.25">
      <c r="A156" s="29"/>
      <c r="B156" s="30"/>
      <c r="C156" s="45"/>
      <c r="D156" s="45"/>
    </row>
    <row r="157" spans="1:4" ht="16.5" thickBot="1" x14ac:dyDescent="0.35">
      <c r="A157" s="29"/>
      <c r="B157" s="30" t="s">
        <v>114</v>
      </c>
      <c r="C157" s="45" t="s">
        <v>129</v>
      </c>
      <c r="D157" s="57">
        <v>2.4196</v>
      </c>
    </row>
    <row r="158" spans="1:4" x14ac:dyDescent="0.2">
      <c r="A158" s="29"/>
      <c r="B158" s="30"/>
      <c r="C158" s="45"/>
      <c r="D158" s="45"/>
    </row>
    <row r="159" spans="1:4" x14ac:dyDescent="0.2">
      <c r="A159" s="29"/>
      <c r="B159" s="30" t="s">
        <v>130</v>
      </c>
      <c r="C159" s="45"/>
      <c r="D159" s="45"/>
    </row>
    <row r="160" spans="1:4" x14ac:dyDescent="0.2">
      <c r="A160" s="29"/>
      <c r="B160" s="30"/>
      <c r="C160" s="45"/>
      <c r="D160" s="45"/>
    </row>
    <row r="161" spans="1:4" x14ac:dyDescent="0.2">
      <c r="A161" s="29"/>
      <c r="B161" s="30"/>
      <c r="C161" s="45"/>
      <c r="D161" s="45">
        <v>0</v>
      </c>
    </row>
    <row r="162" spans="1:4" x14ac:dyDescent="0.2">
      <c r="A162" s="29"/>
      <c r="B162" s="30"/>
      <c r="C162" s="45"/>
      <c r="D162" s="45"/>
    </row>
    <row r="163" spans="1:4" x14ac:dyDescent="0.2">
      <c r="A163" s="29" t="s">
        <v>8</v>
      </c>
      <c r="B163" s="44" t="s">
        <v>131</v>
      </c>
      <c r="C163" s="45"/>
      <c r="D163" s="45"/>
    </row>
    <row r="164" spans="1:4" x14ac:dyDescent="0.2">
      <c r="A164" s="29"/>
      <c r="B164" s="30"/>
      <c r="C164" s="45"/>
      <c r="D164" s="45"/>
    </row>
    <row r="165" spans="1:4" x14ac:dyDescent="0.2">
      <c r="A165" s="29"/>
      <c r="B165" s="30"/>
      <c r="C165" s="45"/>
      <c r="D165" s="45"/>
    </row>
    <row r="166" spans="1:4" x14ac:dyDescent="0.2">
      <c r="A166" s="29"/>
      <c r="B166" s="30"/>
      <c r="C166" s="45"/>
      <c r="D166" s="45"/>
    </row>
    <row r="167" spans="1:4" x14ac:dyDescent="0.2">
      <c r="A167" s="29"/>
      <c r="B167" s="30"/>
      <c r="C167" s="45"/>
      <c r="D167" s="45"/>
    </row>
    <row r="168" spans="1:4" x14ac:dyDescent="0.2">
      <c r="A168" s="29"/>
      <c r="B168" s="30"/>
      <c r="C168" s="45"/>
      <c r="D168" s="45"/>
    </row>
    <row r="169" spans="1:4" x14ac:dyDescent="0.2">
      <c r="A169" s="29"/>
      <c r="B169" s="30"/>
      <c r="C169" s="45"/>
      <c r="D169" s="45"/>
    </row>
    <row r="170" spans="1:4" x14ac:dyDescent="0.2">
      <c r="A170" s="29"/>
      <c r="B170" s="30"/>
      <c r="C170" s="45"/>
      <c r="D170" s="45"/>
    </row>
    <row r="171" spans="1:4" x14ac:dyDescent="0.2">
      <c r="A171" s="29"/>
      <c r="B171" s="30"/>
      <c r="C171" s="45"/>
      <c r="D171" s="45"/>
    </row>
    <row r="172" spans="1:4" x14ac:dyDescent="0.2">
      <c r="A172" s="29"/>
      <c r="B172" s="30"/>
      <c r="C172" s="45"/>
      <c r="D172" s="45"/>
    </row>
    <row r="173" spans="1:4" x14ac:dyDescent="0.2">
      <c r="A173" s="29"/>
      <c r="B173" s="30"/>
      <c r="C173" s="45"/>
      <c r="D173" s="45"/>
    </row>
    <row r="174" spans="1:4" x14ac:dyDescent="0.2">
      <c r="A174" s="29"/>
      <c r="B174" s="30"/>
      <c r="C174" s="45"/>
      <c r="D174" s="45"/>
    </row>
    <row r="175" spans="1:4" ht="13.5" thickBot="1" x14ac:dyDescent="0.25">
      <c r="A175" s="29"/>
      <c r="B175" s="30"/>
      <c r="C175" s="45"/>
      <c r="D175" s="45"/>
    </row>
    <row r="176" spans="1:4" ht="15.75" x14ac:dyDescent="0.3">
      <c r="A176" s="29"/>
      <c r="B176" s="30" t="s">
        <v>106</v>
      </c>
      <c r="C176" s="45" t="s">
        <v>108</v>
      </c>
      <c r="D176" s="6">
        <v>0</v>
      </c>
    </row>
    <row r="177" spans="1:4" ht="15.75" x14ac:dyDescent="0.3">
      <c r="A177" s="29"/>
      <c r="B177" s="30"/>
      <c r="C177" s="45" t="s">
        <v>118</v>
      </c>
      <c r="D177" s="7">
        <v>80</v>
      </c>
    </row>
    <row r="178" spans="1:4" ht="16.5" thickBot="1" x14ac:dyDescent="0.35">
      <c r="A178" s="29"/>
      <c r="B178" s="30"/>
      <c r="C178" s="45" t="s">
        <v>119</v>
      </c>
      <c r="D178" s="56">
        <v>65</v>
      </c>
    </row>
    <row r="179" spans="1:4" ht="15.75" x14ac:dyDescent="0.3">
      <c r="A179" s="29"/>
      <c r="B179" s="30"/>
      <c r="C179" s="45" t="s">
        <v>132</v>
      </c>
      <c r="D179" s="46">
        <f>D152</f>
        <v>145</v>
      </c>
    </row>
    <row r="180" spans="1:4" ht="13.5" thickBot="1" x14ac:dyDescent="0.25">
      <c r="A180" s="29"/>
      <c r="B180" s="30" t="s">
        <v>110</v>
      </c>
      <c r="C180" s="45"/>
      <c r="D180" s="46"/>
    </row>
    <row r="181" spans="1:4" ht="15.75" x14ac:dyDescent="0.3">
      <c r="A181" s="29"/>
      <c r="B181" s="30"/>
      <c r="C181" s="45" t="s">
        <v>112</v>
      </c>
      <c r="D181" s="58">
        <v>45</v>
      </c>
    </row>
    <row r="182" spans="1:4" ht="16.5" thickBot="1" x14ac:dyDescent="0.35">
      <c r="A182" s="29"/>
      <c r="B182" s="30"/>
      <c r="C182" s="45" t="s">
        <v>113</v>
      </c>
      <c r="D182" s="59">
        <v>48</v>
      </c>
    </row>
    <row r="183" spans="1:4" ht="13.5" thickBot="1" x14ac:dyDescent="0.25">
      <c r="A183" s="29"/>
      <c r="B183" s="30"/>
      <c r="C183" s="45"/>
      <c r="D183" s="46"/>
    </row>
    <row r="184" spans="1:4" ht="16.5" thickBot="1" x14ac:dyDescent="0.35">
      <c r="A184" s="29"/>
      <c r="B184" s="30" t="s">
        <v>114</v>
      </c>
      <c r="C184" s="45" t="s">
        <v>121</v>
      </c>
      <c r="D184" s="57">
        <v>-2.5</v>
      </c>
    </row>
    <row r="185" spans="1:4" x14ac:dyDescent="0.2">
      <c r="A185" s="29"/>
      <c r="B185" s="30"/>
      <c r="C185" s="45"/>
      <c r="D185" s="45"/>
    </row>
    <row r="186" spans="1:4" x14ac:dyDescent="0.2">
      <c r="A186" s="29"/>
      <c r="B186" s="30" t="s">
        <v>130</v>
      </c>
      <c r="C186" s="45"/>
      <c r="D186" s="45"/>
    </row>
    <row r="187" spans="1:4" x14ac:dyDescent="0.2">
      <c r="A187" s="29"/>
      <c r="B187" s="30"/>
      <c r="C187" s="45"/>
      <c r="D187" s="45"/>
    </row>
    <row r="188" spans="1:4" x14ac:dyDescent="0.2">
      <c r="A188" s="29"/>
      <c r="B188" s="30"/>
      <c r="C188" s="45"/>
      <c r="D188" s="45"/>
    </row>
    <row r="189" spans="1:4" x14ac:dyDescent="0.2">
      <c r="A189" s="29"/>
      <c r="B189" s="30"/>
      <c r="C189" s="45"/>
      <c r="D189" s="45"/>
    </row>
    <row r="190" spans="1:4" x14ac:dyDescent="0.2">
      <c r="A190" s="29"/>
      <c r="B190" s="44" t="s">
        <v>133</v>
      </c>
      <c r="C190" s="45"/>
      <c r="D190" s="45"/>
    </row>
    <row r="191" spans="1:4" x14ac:dyDescent="0.2">
      <c r="A191" s="29"/>
      <c r="B191" s="30"/>
      <c r="C191" s="45"/>
      <c r="D191" s="45"/>
    </row>
    <row r="192" spans="1:4" x14ac:dyDescent="0.2">
      <c r="A192" s="29"/>
      <c r="B192" s="30"/>
      <c r="C192" s="45"/>
      <c r="D192" s="45"/>
    </row>
    <row r="193" spans="1:4" x14ac:dyDescent="0.2">
      <c r="A193" s="29"/>
      <c r="B193" s="30"/>
      <c r="C193" s="45"/>
      <c r="D193" s="45"/>
    </row>
    <row r="194" spans="1:4" x14ac:dyDescent="0.2">
      <c r="A194" s="29"/>
      <c r="B194" s="30"/>
      <c r="C194" s="45"/>
      <c r="D194" s="45"/>
    </row>
    <row r="195" spans="1:4" x14ac:dyDescent="0.2">
      <c r="A195" s="29"/>
      <c r="B195" s="30"/>
      <c r="C195" s="45"/>
      <c r="D195" s="45"/>
    </row>
    <row r="196" spans="1:4" x14ac:dyDescent="0.2">
      <c r="A196" s="29"/>
      <c r="B196" s="30"/>
      <c r="C196" s="45"/>
      <c r="D196" s="45"/>
    </row>
    <row r="197" spans="1:4" x14ac:dyDescent="0.2">
      <c r="A197" s="29"/>
      <c r="B197" s="30"/>
      <c r="C197" s="45"/>
      <c r="D197" s="45"/>
    </row>
    <row r="198" spans="1:4" x14ac:dyDescent="0.2">
      <c r="A198" s="29"/>
      <c r="B198" s="30"/>
      <c r="C198" s="45"/>
      <c r="D198" s="45"/>
    </row>
    <row r="199" spans="1:4" x14ac:dyDescent="0.2">
      <c r="A199" s="29"/>
      <c r="B199" s="30"/>
      <c r="C199" s="45"/>
      <c r="D199" s="45"/>
    </row>
    <row r="200" spans="1:4" x14ac:dyDescent="0.2">
      <c r="A200" s="29"/>
      <c r="B200" s="30"/>
      <c r="C200" s="45"/>
      <c r="D200" s="45"/>
    </row>
    <row r="201" spans="1:4" x14ac:dyDescent="0.2">
      <c r="A201" s="29"/>
      <c r="B201" s="30"/>
      <c r="C201" s="45"/>
      <c r="D201" s="45"/>
    </row>
    <row r="202" spans="1:4" ht="13.5" thickBot="1" x14ac:dyDescent="0.25">
      <c r="A202" s="29"/>
      <c r="B202" s="30"/>
      <c r="C202" s="45"/>
      <c r="D202" s="45"/>
    </row>
    <row r="203" spans="1:4" ht="15.75" x14ac:dyDescent="0.3">
      <c r="A203" s="29" t="s">
        <v>8</v>
      </c>
      <c r="B203" s="30" t="s">
        <v>106</v>
      </c>
      <c r="C203" s="45" t="s">
        <v>107</v>
      </c>
      <c r="D203" s="6">
        <v>72.5</v>
      </c>
    </row>
    <row r="204" spans="1:4" ht="15.75" x14ac:dyDescent="0.3">
      <c r="A204" s="29"/>
      <c r="B204" s="30"/>
      <c r="C204" s="45" t="s">
        <v>108</v>
      </c>
      <c r="D204" s="7">
        <v>130</v>
      </c>
    </row>
    <row r="205" spans="1:4" ht="15.75" x14ac:dyDescent="0.3">
      <c r="A205" s="29"/>
      <c r="B205" s="30"/>
      <c r="C205" s="45" t="s">
        <v>118</v>
      </c>
      <c r="D205" s="7">
        <v>210</v>
      </c>
    </row>
    <row r="206" spans="1:4" ht="16.5" thickBot="1" x14ac:dyDescent="0.35">
      <c r="A206" s="29"/>
      <c r="B206" s="30"/>
      <c r="C206" s="45" t="s">
        <v>119</v>
      </c>
      <c r="D206" s="56">
        <v>65</v>
      </c>
    </row>
    <row r="207" spans="1:4" ht="16.5" thickBot="1" x14ac:dyDescent="0.35">
      <c r="A207" s="29"/>
      <c r="B207" s="30"/>
      <c r="C207" s="45" t="s">
        <v>132</v>
      </c>
      <c r="D207" s="46">
        <f>D152</f>
        <v>145</v>
      </c>
    </row>
    <row r="208" spans="1:4" ht="15.75" x14ac:dyDescent="0.3">
      <c r="A208" s="29"/>
      <c r="B208" s="30" t="s">
        <v>110</v>
      </c>
      <c r="C208" s="45" t="s">
        <v>111</v>
      </c>
      <c r="D208" s="58">
        <v>40</v>
      </c>
    </row>
    <row r="209" spans="1:4" ht="15.75" x14ac:dyDescent="0.3">
      <c r="A209" s="29"/>
      <c r="B209" s="30"/>
      <c r="C209" s="45" t="s">
        <v>112</v>
      </c>
      <c r="D209" s="60">
        <v>45</v>
      </c>
    </row>
    <row r="210" spans="1:4" ht="16.5" thickBot="1" x14ac:dyDescent="0.35">
      <c r="A210" s="29"/>
      <c r="B210" s="30"/>
      <c r="C210" s="45" t="s">
        <v>113</v>
      </c>
      <c r="D210" s="59">
        <v>48</v>
      </c>
    </row>
    <row r="211" spans="1:4" ht="13.5" thickBot="1" x14ac:dyDescent="0.25">
      <c r="A211" s="29"/>
      <c r="B211" s="30"/>
      <c r="C211" s="45"/>
      <c r="D211" s="45"/>
    </row>
    <row r="212" spans="1:4" ht="16.5" thickBot="1" x14ac:dyDescent="0.35">
      <c r="A212" s="29"/>
      <c r="B212" s="30" t="s">
        <v>114</v>
      </c>
      <c r="C212" s="45" t="s">
        <v>121</v>
      </c>
      <c r="D212" s="57">
        <v>1.8446</v>
      </c>
    </row>
    <row r="213" spans="1:4" x14ac:dyDescent="0.2">
      <c r="A213" s="29"/>
      <c r="B213" s="30"/>
      <c r="C213" s="45"/>
      <c r="D213" s="45"/>
    </row>
    <row r="214" spans="1:4" x14ac:dyDescent="0.2">
      <c r="A214" s="29"/>
      <c r="B214" s="30" t="s">
        <v>130</v>
      </c>
      <c r="C214" s="45"/>
      <c r="D214" s="45"/>
    </row>
    <row r="215" spans="1:4" x14ac:dyDescent="0.2">
      <c r="A215" s="29"/>
      <c r="B215" s="30"/>
      <c r="C215" s="45"/>
      <c r="D215" s="45"/>
    </row>
    <row r="216" spans="1:4" x14ac:dyDescent="0.2">
      <c r="A216" s="29"/>
      <c r="B216" s="30"/>
      <c r="C216" s="45"/>
      <c r="D216" s="45"/>
    </row>
    <row r="217" spans="1:4" x14ac:dyDescent="0.2">
      <c r="A217" s="29"/>
      <c r="B217" s="30"/>
      <c r="C217" s="45"/>
      <c r="D217" s="45"/>
    </row>
    <row r="218" spans="1:4" x14ac:dyDescent="0.2">
      <c r="A218" s="29"/>
      <c r="B218" s="44" t="s">
        <v>134</v>
      </c>
      <c r="C218" s="45"/>
      <c r="D218" s="45"/>
    </row>
    <row r="219" spans="1:4" x14ac:dyDescent="0.2">
      <c r="A219" s="29"/>
      <c r="B219" s="30"/>
      <c r="C219" s="45"/>
      <c r="D219" s="45"/>
    </row>
    <row r="220" spans="1:4" x14ac:dyDescent="0.2">
      <c r="A220" s="29"/>
      <c r="B220" s="30"/>
      <c r="C220" s="45"/>
      <c r="D220" s="45"/>
    </row>
    <row r="221" spans="1:4" x14ac:dyDescent="0.2">
      <c r="A221" s="29"/>
      <c r="B221" s="30"/>
      <c r="C221" s="45"/>
      <c r="D221" s="45"/>
    </row>
    <row r="222" spans="1:4" x14ac:dyDescent="0.2">
      <c r="A222" s="29"/>
      <c r="B222" s="30"/>
      <c r="C222" s="45"/>
      <c r="D222" s="45"/>
    </row>
    <row r="223" spans="1:4" x14ac:dyDescent="0.2">
      <c r="A223" s="29"/>
      <c r="B223" s="30"/>
      <c r="C223" s="45"/>
      <c r="D223" s="45"/>
    </row>
    <row r="224" spans="1:4" x14ac:dyDescent="0.2">
      <c r="A224" s="29"/>
      <c r="B224" s="30"/>
      <c r="C224" s="45"/>
      <c r="D224" s="45"/>
    </row>
    <row r="225" spans="1:4" x14ac:dyDescent="0.2">
      <c r="A225" s="29"/>
      <c r="B225" s="30"/>
      <c r="C225" s="45"/>
      <c r="D225" s="45"/>
    </row>
    <row r="226" spans="1:4" x14ac:dyDescent="0.2">
      <c r="A226" s="29"/>
      <c r="B226" s="30"/>
      <c r="C226" s="45"/>
      <c r="D226" s="45"/>
    </row>
    <row r="227" spans="1:4" x14ac:dyDescent="0.2">
      <c r="A227" s="29"/>
      <c r="B227" s="30"/>
      <c r="C227" s="45"/>
      <c r="D227" s="45"/>
    </row>
    <row r="228" spans="1:4" x14ac:dyDescent="0.2">
      <c r="A228" s="29"/>
      <c r="B228" s="30"/>
      <c r="C228" s="45"/>
      <c r="D228" s="45"/>
    </row>
    <row r="229" spans="1:4" x14ac:dyDescent="0.2">
      <c r="A229" s="29"/>
      <c r="B229" s="30"/>
      <c r="C229" s="45"/>
      <c r="D229" s="45"/>
    </row>
    <row r="230" spans="1:4" ht="13.5" thickBot="1" x14ac:dyDescent="0.25">
      <c r="A230" s="29"/>
      <c r="B230" s="30"/>
      <c r="C230" s="45"/>
      <c r="D230" s="45"/>
    </row>
    <row r="231" spans="1:4" ht="15.75" x14ac:dyDescent="0.3">
      <c r="A231" s="29" t="s">
        <v>8</v>
      </c>
      <c r="B231" s="30" t="s">
        <v>106</v>
      </c>
      <c r="C231" s="45" t="s">
        <v>135</v>
      </c>
      <c r="D231" s="6">
        <v>30</v>
      </c>
    </row>
    <row r="232" spans="1:4" ht="15.75" x14ac:dyDescent="0.3">
      <c r="A232" s="29"/>
      <c r="B232" s="30"/>
      <c r="C232" s="45" t="s">
        <v>136</v>
      </c>
      <c r="D232" s="7">
        <v>290</v>
      </c>
    </row>
    <row r="233" spans="1:4" ht="16.5" thickBot="1" x14ac:dyDescent="0.35">
      <c r="A233" s="29"/>
      <c r="B233" s="30"/>
      <c r="C233" s="45" t="s">
        <v>119</v>
      </c>
      <c r="D233" s="56">
        <v>130</v>
      </c>
    </row>
    <row r="234" spans="1:4" ht="16.5" thickBot="1" x14ac:dyDescent="0.35">
      <c r="A234" s="29"/>
      <c r="B234" s="30"/>
      <c r="C234" s="45" t="s">
        <v>132</v>
      </c>
      <c r="D234" s="46">
        <f>D152</f>
        <v>145</v>
      </c>
    </row>
    <row r="235" spans="1:4" ht="13.5" thickBot="1" x14ac:dyDescent="0.25">
      <c r="A235" s="29"/>
      <c r="B235" s="30" t="s">
        <v>124</v>
      </c>
      <c r="C235" s="45" t="s">
        <v>125</v>
      </c>
      <c r="D235" s="57">
        <v>335</v>
      </c>
    </row>
    <row r="236" spans="1:4" ht="13.5" thickBot="1" x14ac:dyDescent="0.25">
      <c r="A236" s="29"/>
      <c r="B236" s="30" t="s">
        <v>110</v>
      </c>
      <c r="C236" s="45"/>
      <c r="D236" s="46"/>
    </row>
    <row r="237" spans="1:4" ht="15.75" x14ac:dyDescent="0.3">
      <c r="A237" s="29"/>
      <c r="B237" s="30"/>
      <c r="C237" s="45" t="s">
        <v>112</v>
      </c>
      <c r="D237" s="58">
        <v>60</v>
      </c>
    </row>
    <row r="238" spans="1:4" ht="16.5" thickBot="1" x14ac:dyDescent="0.35">
      <c r="A238" s="29"/>
      <c r="B238" s="30"/>
      <c r="C238" s="45" t="s">
        <v>113</v>
      </c>
      <c r="D238" s="59">
        <v>70</v>
      </c>
    </row>
    <row r="239" spans="1:4" ht="13.5" thickBot="1" x14ac:dyDescent="0.25">
      <c r="A239" s="29"/>
      <c r="B239" s="30"/>
      <c r="C239" s="45"/>
      <c r="D239" s="45"/>
    </row>
    <row r="240" spans="1:4" ht="16.5" thickBot="1" x14ac:dyDescent="0.35">
      <c r="A240" s="29"/>
      <c r="B240" s="30" t="s">
        <v>114</v>
      </c>
      <c r="C240" s="45" t="s">
        <v>121</v>
      </c>
      <c r="D240" s="57">
        <v>0</v>
      </c>
    </row>
    <row r="241" spans="1:4" x14ac:dyDescent="0.2">
      <c r="A241" s="29"/>
      <c r="B241" s="30"/>
      <c r="C241" s="45"/>
      <c r="D241" s="45"/>
    </row>
    <row r="242" spans="1:4" x14ac:dyDescent="0.2">
      <c r="A242" s="29"/>
      <c r="B242" s="30" t="s">
        <v>130</v>
      </c>
      <c r="C242" s="45"/>
      <c r="D242" s="45"/>
    </row>
    <row r="243" spans="1:4" x14ac:dyDescent="0.2">
      <c r="A243" s="29"/>
      <c r="B243" s="30"/>
      <c r="C243" s="45"/>
      <c r="D243" s="45"/>
    </row>
    <row r="244" spans="1:4" x14ac:dyDescent="0.2">
      <c r="A244" s="29"/>
      <c r="B244" s="30"/>
      <c r="C244" s="45"/>
      <c r="D244" s="45"/>
    </row>
    <row r="245" spans="1:4" x14ac:dyDescent="0.2">
      <c r="A245" s="29"/>
      <c r="B245" s="44" t="s">
        <v>137</v>
      </c>
      <c r="C245" s="45"/>
      <c r="D245" s="45"/>
    </row>
    <row r="246" spans="1:4" x14ac:dyDescent="0.2">
      <c r="A246" s="29"/>
      <c r="B246" s="30"/>
      <c r="C246" s="45"/>
      <c r="D246" s="45"/>
    </row>
    <row r="247" spans="1:4" x14ac:dyDescent="0.2">
      <c r="A247" s="29"/>
      <c r="B247" s="30"/>
      <c r="C247" s="45"/>
      <c r="D247" s="45"/>
    </row>
    <row r="248" spans="1:4" x14ac:dyDescent="0.2">
      <c r="A248" s="29"/>
      <c r="B248" s="30"/>
      <c r="C248" s="45"/>
      <c r="D248" s="45"/>
    </row>
    <row r="249" spans="1:4" x14ac:dyDescent="0.2">
      <c r="A249" s="29"/>
      <c r="B249" s="30"/>
      <c r="C249" s="45"/>
      <c r="D249" s="45"/>
    </row>
    <row r="250" spans="1:4" x14ac:dyDescent="0.2">
      <c r="A250" s="29"/>
      <c r="B250" s="30"/>
      <c r="C250" s="45"/>
      <c r="D250" s="45"/>
    </row>
    <row r="251" spans="1:4" x14ac:dyDescent="0.2">
      <c r="A251" s="29"/>
      <c r="B251" s="30"/>
      <c r="C251" s="45"/>
      <c r="D251" s="45"/>
    </row>
    <row r="252" spans="1:4" x14ac:dyDescent="0.2">
      <c r="A252" s="29"/>
      <c r="B252" s="30"/>
      <c r="C252" s="45"/>
      <c r="D252" s="45"/>
    </row>
    <row r="253" spans="1:4" x14ac:dyDescent="0.2">
      <c r="A253" s="29"/>
      <c r="B253" s="30"/>
      <c r="C253" s="45"/>
      <c r="D253" s="45"/>
    </row>
    <row r="254" spans="1:4" x14ac:dyDescent="0.2">
      <c r="A254" s="29"/>
      <c r="B254" s="30"/>
      <c r="C254" s="45"/>
      <c r="D254" s="45"/>
    </row>
    <row r="255" spans="1:4" x14ac:dyDescent="0.2">
      <c r="A255" s="29"/>
      <c r="B255" s="30"/>
      <c r="C255" s="45"/>
      <c r="D255" s="45"/>
    </row>
    <row r="256" spans="1:4" x14ac:dyDescent="0.2">
      <c r="A256" s="29"/>
      <c r="B256" s="30"/>
      <c r="C256" s="45"/>
      <c r="D256" s="45"/>
    </row>
    <row r="257" spans="1:4" ht="13.5" thickBot="1" x14ac:dyDescent="0.25">
      <c r="A257" s="29"/>
      <c r="B257" s="30"/>
      <c r="C257" s="45"/>
      <c r="D257" s="45"/>
    </row>
    <row r="258" spans="1:4" ht="15.75" x14ac:dyDescent="0.3">
      <c r="A258" s="29" t="s">
        <v>8</v>
      </c>
      <c r="B258" s="30" t="s">
        <v>106</v>
      </c>
      <c r="C258" s="45" t="s">
        <v>107</v>
      </c>
      <c r="D258" s="6">
        <v>60</v>
      </c>
    </row>
    <row r="259" spans="1:4" ht="15.75" x14ac:dyDescent="0.3">
      <c r="A259" s="29"/>
      <c r="B259" s="30"/>
      <c r="C259" s="45" t="s">
        <v>108</v>
      </c>
      <c r="D259" s="7">
        <v>90</v>
      </c>
    </row>
    <row r="260" spans="1:4" ht="15.75" x14ac:dyDescent="0.3">
      <c r="A260" s="29"/>
      <c r="B260" s="30"/>
      <c r="C260" s="45" t="s">
        <v>118</v>
      </c>
      <c r="D260" s="7">
        <v>90</v>
      </c>
    </row>
    <row r="261" spans="1:4" ht="16.5" thickBot="1" x14ac:dyDescent="0.35">
      <c r="A261" s="29"/>
      <c r="B261" s="30"/>
      <c r="C261" s="45" t="s">
        <v>138</v>
      </c>
      <c r="D261" s="56">
        <v>40</v>
      </c>
    </row>
    <row r="262" spans="1:4" ht="16.5" thickBot="1" x14ac:dyDescent="0.35">
      <c r="A262" s="29"/>
      <c r="B262" s="30"/>
      <c r="C262" s="45" t="s">
        <v>139</v>
      </c>
      <c r="D262" s="46">
        <f>D152</f>
        <v>145</v>
      </c>
    </row>
    <row r="263" spans="1:4" x14ac:dyDescent="0.2">
      <c r="A263" s="29"/>
      <c r="B263" s="30" t="s">
        <v>124</v>
      </c>
      <c r="C263" s="45" t="s">
        <v>125</v>
      </c>
      <c r="D263" s="6">
        <v>100</v>
      </c>
    </row>
    <row r="264" spans="1:4" ht="15.75" x14ac:dyDescent="0.3">
      <c r="A264" s="29"/>
      <c r="B264" s="30" t="s">
        <v>110</v>
      </c>
      <c r="C264" s="45" t="s">
        <v>111</v>
      </c>
      <c r="D264" s="7">
        <v>45</v>
      </c>
    </row>
    <row r="265" spans="1:4" ht="15.75" x14ac:dyDescent="0.3">
      <c r="A265" s="29"/>
      <c r="B265" s="30"/>
      <c r="C265" s="45" t="s">
        <v>112</v>
      </c>
      <c r="D265" s="7">
        <v>55</v>
      </c>
    </row>
    <row r="266" spans="1:4" ht="16.5" thickBot="1" x14ac:dyDescent="0.35">
      <c r="A266" s="29"/>
      <c r="B266" s="30"/>
      <c r="C266" s="45" t="s">
        <v>113</v>
      </c>
      <c r="D266" s="56">
        <v>60</v>
      </c>
    </row>
    <row r="267" spans="1:4" ht="13.5" thickBot="1" x14ac:dyDescent="0.25">
      <c r="A267" s="29"/>
      <c r="B267" s="30"/>
      <c r="C267" s="45"/>
      <c r="D267" s="45"/>
    </row>
    <row r="268" spans="1:4" ht="13.5" thickBot="1" x14ac:dyDescent="0.25">
      <c r="A268" s="29"/>
      <c r="B268" s="30" t="s">
        <v>114</v>
      </c>
      <c r="C268" s="45" t="s">
        <v>140</v>
      </c>
      <c r="D268" s="57">
        <v>0</v>
      </c>
    </row>
    <row r="269" spans="1:4" x14ac:dyDescent="0.2">
      <c r="A269" s="29"/>
      <c r="B269" s="30"/>
      <c r="C269" s="45"/>
      <c r="D269" s="45"/>
    </row>
    <row r="270" spans="1:4" x14ac:dyDescent="0.2">
      <c r="A270" s="29"/>
      <c r="B270" s="30" t="s">
        <v>130</v>
      </c>
      <c r="C270" s="45"/>
      <c r="D270" s="45"/>
    </row>
    <row r="271" spans="1:4" x14ac:dyDescent="0.2">
      <c r="A271" s="29"/>
      <c r="B271" s="30"/>
      <c r="C271" s="45"/>
      <c r="D271" s="45"/>
    </row>
    <row r="272" spans="1:4" x14ac:dyDescent="0.2">
      <c r="A272" s="29"/>
      <c r="B272" s="30"/>
      <c r="C272" s="45"/>
      <c r="D272" s="45"/>
    </row>
    <row r="273" spans="1:4" x14ac:dyDescent="0.2">
      <c r="A273" s="29"/>
      <c r="B273" s="30"/>
      <c r="C273" s="45"/>
      <c r="D273" s="45"/>
    </row>
    <row r="274" spans="1:4" x14ac:dyDescent="0.2">
      <c r="A274" s="29"/>
      <c r="B274" s="30"/>
      <c r="C274" s="45"/>
      <c r="D274" s="45"/>
    </row>
    <row r="275" spans="1:4" x14ac:dyDescent="0.2">
      <c r="A275" s="29"/>
      <c r="B275" s="30"/>
      <c r="C275" s="45"/>
      <c r="D275" s="45"/>
    </row>
    <row r="276" spans="1:4" x14ac:dyDescent="0.2">
      <c r="A276" s="29"/>
      <c r="B276" s="30"/>
      <c r="C276" s="45"/>
      <c r="D276" s="45"/>
    </row>
    <row r="277" spans="1:4" x14ac:dyDescent="0.2">
      <c r="A277" s="29"/>
      <c r="B277" s="30"/>
      <c r="C277" s="45"/>
      <c r="D277" s="45"/>
    </row>
    <row r="278" spans="1:4" x14ac:dyDescent="0.2">
      <c r="A278" s="29"/>
      <c r="B278" s="30"/>
      <c r="C278" s="45"/>
      <c r="D278" s="45"/>
    </row>
    <row r="279" spans="1:4" x14ac:dyDescent="0.2">
      <c r="A279" s="29"/>
      <c r="B279" s="30"/>
      <c r="C279" s="45"/>
      <c r="D279" s="45"/>
    </row>
    <row r="280" spans="1:4" x14ac:dyDescent="0.2">
      <c r="A280" s="29"/>
      <c r="B280" s="30"/>
      <c r="C280" s="45"/>
      <c r="D280" s="45"/>
    </row>
    <row r="281" spans="1:4" x14ac:dyDescent="0.2">
      <c r="A281" s="29"/>
      <c r="B281" s="30"/>
      <c r="C281" s="45"/>
      <c r="D281" s="45"/>
    </row>
    <row r="282" spans="1:4" x14ac:dyDescent="0.2">
      <c r="A282" s="29"/>
      <c r="B282" s="30"/>
      <c r="C282" s="45"/>
      <c r="D282" s="45"/>
    </row>
    <row r="283" spans="1:4" x14ac:dyDescent="0.2">
      <c r="A283" s="29"/>
      <c r="B283" s="30"/>
      <c r="C283" s="45"/>
      <c r="D283" s="45"/>
    </row>
    <row r="284" spans="1:4" x14ac:dyDescent="0.2">
      <c r="A284" s="29"/>
      <c r="B284" s="30"/>
      <c r="C284" s="45"/>
      <c r="D284" s="45"/>
    </row>
    <row r="285" spans="1:4" x14ac:dyDescent="0.2">
      <c r="A285" s="29"/>
      <c r="B285" s="30"/>
      <c r="C285" s="45"/>
      <c r="D285" s="45"/>
    </row>
    <row r="286" spans="1:4" x14ac:dyDescent="0.2">
      <c r="A286" s="29"/>
      <c r="B286" s="30"/>
      <c r="C286" s="45"/>
      <c r="D286" s="45"/>
    </row>
    <row r="287" spans="1:4" x14ac:dyDescent="0.2">
      <c r="A287" s="29"/>
      <c r="B287" s="30"/>
      <c r="C287" s="45"/>
      <c r="D287" s="45"/>
    </row>
    <row r="288" spans="1:4" x14ac:dyDescent="0.2">
      <c r="A288" s="29"/>
      <c r="B288" s="30"/>
      <c r="C288" s="45"/>
      <c r="D288" s="45"/>
    </row>
    <row r="289" spans="1:4" x14ac:dyDescent="0.2">
      <c r="A289" s="29"/>
      <c r="B289" s="30"/>
      <c r="C289" s="45"/>
      <c r="D289" s="45"/>
    </row>
    <row r="290" spans="1:4" x14ac:dyDescent="0.2">
      <c r="A290" s="29"/>
      <c r="B290" s="30"/>
      <c r="C290" s="45"/>
      <c r="D290" s="45"/>
    </row>
    <row r="291" spans="1:4" x14ac:dyDescent="0.2">
      <c r="A291" s="29"/>
      <c r="B291" s="30"/>
      <c r="C291" s="45"/>
      <c r="D291" s="45"/>
    </row>
    <row r="292" spans="1:4" x14ac:dyDescent="0.2">
      <c r="A292" s="29"/>
      <c r="B292" s="30"/>
      <c r="C292" s="45"/>
      <c r="D292" s="45"/>
    </row>
    <row r="293" spans="1:4" x14ac:dyDescent="0.2">
      <c r="A293" s="29"/>
      <c r="B293" s="30"/>
      <c r="C293" s="45"/>
      <c r="D293" s="45"/>
    </row>
    <row r="294" spans="1:4" x14ac:dyDescent="0.2">
      <c r="A294" s="29"/>
      <c r="B294" s="30"/>
      <c r="C294" s="45"/>
      <c r="D294" s="45"/>
    </row>
    <row r="295" spans="1:4" x14ac:dyDescent="0.2">
      <c r="A295" s="29"/>
      <c r="B295" s="30"/>
      <c r="C295" s="45"/>
      <c r="D295" s="45"/>
    </row>
    <row r="296" spans="1:4" x14ac:dyDescent="0.2">
      <c r="A296" s="29"/>
      <c r="B296" s="30"/>
      <c r="C296" s="45"/>
      <c r="D296" s="45"/>
    </row>
    <row r="297" spans="1:4" x14ac:dyDescent="0.2">
      <c r="A297" s="29"/>
      <c r="B297" s="30"/>
      <c r="C297" s="45"/>
      <c r="D297" s="45"/>
    </row>
    <row r="298" spans="1:4" x14ac:dyDescent="0.2">
      <c r="A298" s="29"/>
      <c r="B298" s="30"/>
      <c r="C298" s="45"/>
      <c r="D298" s="45"/>
    </row>
    <row r="299" spans="1:4" x14ac:dyDescent="0.2">
      <c r="A299" s="29"/>
      <c r="B299" s="30"/>
      <c r="C299" s="45"/>
      <c r="D299" s="45"/>
    </row>
    <row r="300" spans="1:4" x14ac:dyDescent="0.2">
      <c r="A300" s="29"/>
      <c r="B300" s="30"/>
      <c r="C300" s="45"/>
      <c r="D300" s="45"/>
    </row>
    <row r="301" spans="1:4" x14ac:dyDescent="0.2">
      <c r="A301" s="29"/>
      <c r="B301" s="30"/>
      <c r="C301" s="45"/>
      <c r="D301" s="45"/>
    </row>
    <row r="302" spans="1:4" x14ac:dyDescent="0.2">
      <c r="A302" s="29"/>
      <c r="B302" s="30"/>
      <c r="C302" s="45"/>
      <c r="D302" s="45"/>
    </row>
    <row r="303" spans="1:4" x14ac:dyDescent="0.2">
      <c r="A303" s="29"/>
      <c r="B303" s="30"/>
      <c r="C303" s="45"/>
      <c r="D303" s="45"/>
    </row>
    <row r="304" spans="1:4" x14ac:dyDescent="0.2">
      <c r="A304" s="29"/>
      <c r="B304" s="30"/>
      <c r="C304" s="45"/>
      <c r="D304" s="45"/>
    </row>
    <row r="305" spans="1:4" x14ac:dyDescent="0.2">
      <c r="A305" s="29"/>
      <c r="B305" s="30"/>
      <c r="C305" s="45"/>
      <c r="D305" s="45"/>
    </row>
    <row r="306" spans="1:4" x14ac:dyDescent="0.2">
      <c r="A306" s="29"/>
      <c r="B306" s="30"/>
      <c r="C306" s="45"/>
      <c r="D306" s="45"/>
    </row>
    <row r="307" spans="1:4" x14ac:dyDescent="0.2">
      <c r="A307" s="29"/>
      <c r="B307" s="30"/>
      <c r="C307" s="45"/>
      <c r="D307" s="45"/>
    </row>
    <row r="308" spans="1:4" x14ac:dyDescent="0.2">
      <c r="A308" s="29"/>
      <c r="B308" s="30"/>
      <c r="C308" s="45"/>
      <c r="D308" s="45"/>
    </row>
    <row r="309" spans="1:4" x14ac:dyDescent="0.2">
      <c r="A309" s="29"/>
      <c r="B309" s="30"/>
      <c r="C309" s="45"/>
      <c r="D309" s="45"/>
    </row>
    <row r="310" spans="1:4" x14ac:dyDescent="0.2">
      <c r="A310" s="29"/>
      <c r="B310" s="30"/>
      <c r="C310" s="45"/>
      <c r="D310" s="45"/>
    </row>
    <row r="311" spans="1:4" x14ac:dyDescent="0.2">
      <c r="A311" s="29"/>
      <c r="B311" s="30"/>
      <c r="C311" s="45"/>
      <c r="D311" s="45"/>
    </row>
    <row r="312" spans="1:4" x14ac:dyDescent="0.2">
      <c r="A312" s="29"/>
      <c r="B312" s="30"/>
      <c r="C312" s="45"/>
      <c r="D312" s="45"/>
    </row>
    <row r="313" spans="1:4" x14ac:dyDescent="0.2">
      <c r="A313" s="29"/>
      <c r="B313" s="30"/>
      <c r="C313" s="45"/>
      <c r="D313" s="45"/>
    </row>
  </sheetData>
  <sheetProtection sheet="1" scenarios="1"/>
  <phoneticPr fontId="0" type="noConversion"/>
  <pageMargins left="0.78740157499999996" right="0.78740157499999996" top="0.984251969" bottom="0.984251969" header="0.51181102300000003" footer="0.51181102300000003"/>
  <pageSetup paperSize="9" orientation="portrait" blackAndWhite="1" horizontalDpi="300" verticalDpi="300" r:id="rId1"/>
  <headerFooter alignWithMargins="0">
    <oddHeader>&amp;A</oddHeader>
    <oddFooter>Seite &amp;P</oddFooter>
  </headerFooter>
  <drawing r:id="rId2"/>
  <legacyDrawing r:id="rId3"/>
  <oleObjects>
    <mc:AlternateContent xmlns:mc="http://schemas.openxmlformats.org/markup-compatibility/2006">
      <mc:Choice Requires="x14">
        <oleObject progId="AutoCAD.Drawing.14" shapeId="2074" r:id="rId4">
          <objectPr defaultSize="0" autoPict="0" r:id="rId5">
            <anchor moveWithCells="1">
              <from>
                <xdr:col>1</xdr:col>
                <xdr:colOff>28575</xdr:colOff>
                <xdr:row>1</xdr:row>
                <xdr:rowOff>0</xdr:rowOff>
              </from>
              <to>
                <xdr:col>3</xdr:col>
                <xdr:colOff>28575</xdr:colOff>
                <xdr:row>12</xdr:row>
                <xdr:rowOff>161925</xdr:rowOff>
              </to>
            </anchor>
          </objectPr>
        </oleObject>
      </mc:Choice>
      <mc:Fallback>
        <oleObject progId="AutoCAD.Drawing.14" shapeId="2074" r:id="rId4"/>
      </mc:Fallback>
    </mc:AlternateContent>
    <mc:AlternateContent xmlns:mc="http://schemas.openxmlformats.org/markup-compatibility/2006">
      <mc:Choice Requires="x14">
        <oleObject progId="AutoCAD.Drawing.14" shapeId="2075" r:id="rId6">
          <objectPr defaultSize="0" autoPict="0" r:id="rId7">
            <anchor moveWithCells="1">
              <from>
                <xdr:col>1</xdr:col>
                <xdr:colOff>28575</xdr:colOff>
                <xdr:row>27</xdr:row>
                <xdr:rowOff>0</xdr:rowOff>
              </from>
              <to>
                <xdr:col>3</xdr:col>
                <xdr:colOff>9525</xdr:colOff>
                <xdr:row>38</xdr:row>
                <xdr:rowOff>161925</xdr:rowOff>
              </to>
            </anchor>
          </objectPr>
        </oleObject>
      </mc:Choice>
      <mc:Fallback>
        <oleObject progId="AutoCAD.Drawing.14" shapeId="2075" r:id="rId6"/>
      </mc:Fallback>
    </mc:AlternateContent>
    <mc:AlternateContent xmlns:mc="http://schemas.openxmlformats.org/markup-compatibility/2006">
      <mc:Choice Requires="x14">
        <oleObject progId="AutoCAD.Drawing.14" shapeId="2076" r:id="rId8">
          <objectPr defaultSize="0" autoPict="0" r:id="rId9">
            <anchor moveWithCells="1">
              <from>
                <xdr:col>1</xdr:col>
                <xdr:colOff>38100</xdr:colOff>
                <xdr:row>53</xdr:row>
                <xdr:rowOff>19050</xdr:rowOff>
              </from>
              <to>
                <xdr:col>2</xdr:col>
                <xdr:colOff>809625</xdr:colOff>
                <xdr:row>64</xdr:row>
                <xdr:rowOff>152400</xdr:rowOff>
              </to>
            </anchor>
          </objectPr>
        </oleObject>
      </mc:Choice>
      <mc:Fallback>
        <oleObject progId="AutoCAD.Drawing.14" shapeId="2076" r:id="rId8"/>
      </mc:Fallback>
    </mc:AlternateContent>
    <mc:AlternateContent xmlns:mc="http://schemas.openxmlformats.org/markup-compatibility/2006">
      <mc:Choice Requires="x14">
        <oleObject progId="AutoCAD.Drawing.14" shapeId="2077" r:id="rId10">
          <objectPr defaultSize="0" autoFill="0" autoPict="0" r:id="rId11">
            <anchor moveWithCells="1">
              <from>
                <xdr:col>1</xdr:col>
                <xdr:colOff>28575</xdr:colOff>
                <xdr:row>81</xdr:row>
                <xdr:rowOff>9525</xdr:rowOff>
              </from>
              <to>
                <xdr:col>3</xdr:col>
                <xdr:colOff>85725</xdr:colOff>
                <xdr:row>92</xdr:row>
                <xdr:rowOff>161925</xdr:rowOff>
              </to>
            </anchor>
          </objectPr>
        </oleObject>
      </mc:Choice>
      <mc:Fallback>
        <oleObject progId="AutoCAD.Drawing.14" shapeId="2077" r:id="rId10"/>
      </mc:Fallback>
    </mc:AlternateContent>
    <mc:AlternateContent xmlns:mc="http://schemas.openxmlformats.org/markup-compatibility/2006">
      <mc:Choice Requires="x14">
        <oleObject progId="AutoCAD.Drawing.14" shapeId="2078" r:id="rId12">
          <objectPr defaultSize="0" autoPict="0" r:id="rId13">
            <anchor moveWithCells="1">
              <from>
                <xdr:col>1</xdr:col>
                <xdr:colOff>28575</xdr:colOff>
                <xdr:row>108</xdr:row>
                <xdr:rowOff>152400</xdr:rowOff>
              </from>
              <to>
                <xdr:col>3</xdr:col>
                <xdr:colOff>28575</xdr:colOff>
                <xdr:row>120</xdr:row>
                <xdr:rowOff>114300</xdr:rowOff>
              </to>
            </anchor>
          </objectPr>
        </oleObject>
      </mc:Choice>
      <mc:Fallback>
        <oleObject progId="AutoCAD.Drawing.14" shapeId="2078" r:id="rId12"/>
      </mc:Fallback>
    </mc:AlternateContent>
    <mc:AlternateContent xmlns:mc="http://schemas.openxmlformats.org/markup-compatibility/2006">
      <mc:Choice Requires="x14">
        <oleObject progId="AutoCAD.Drawing.14" shapeId="2079" r:id="rId14">
          <objectPr defaultSize="0" autoPict="0" r:id="rId15">
            <anchor moveWithCells="1">
              <from>
                <xdr:col>1</xdr:col>
                <xdr:colOff>19050</xdr:colOff>
                <xdr:row>137</xdr:row>
                <xdr:rowOff>0</xdr:rowOff>
              </from>
              <to>
                <xdr:col>3</xdr:col>
                <xdr:colOff>19050</xdr:colOff>
                <xdr:row>148</xdr:row>
                <xdr:rowOff>152400</xdr:rowOff>
              </to>
            </anchor>
          </objectPr>
        </oleObject>
      </mc:Choice>
      <mc:Fallback>
        <oleObject progId="AutoCAD.Drawing.14" shapeId="2079" r:id="rId14"/>
      </mc:Fallback>
    </mc:AlternateContent>
    <mc:AlternateContent xmlns:mc="http://schemas.openxmlformats.org/markup-compatibility/2006">
      <mc:Choice Requires="x14">
        <oleObject progId="AutoCAD.Drawing.14" shapeId="2080" r:id="rId16">
          <objectPr defaultSize="0" autoPict="0" r:id="rId17">
            <anchor moveWithCells="1">
              <from>
                <xdr:col>1</xdr:col>
                <xdr:colOff>28575</xdr:colOff>
                <xdr:row>163</xdr:row>
                <xdr:rowOff>0</xdr:rowOff>
              </from>
              <to>
                <xdr:col>3</xdr:col>
                <xdr:colOff>9525</xdr:colOff>
                <xdr:row>174</xdr:row>
                <xdr:rowOff>152400</xdr:rowOff>
              </to>
            </anchor>
          </objectPr>
        </oleObject>
      </mc:Choice>
      <mc:Fallback>
        <oleObject progId="AutoCAD.Drawing.14" shapeId="2080" r:id="rId16"/>
      </mc:Fallback>
    </mc:AlternateContent>
    <mc:AlternateContent xmlns:mc="http://schemas.openxmlformats.org/markup-compatibility/2006">
      <mc:Choice Requires="x14">
        <oleObject progId="AutoCAD.Drawing.14" shapeId="2081" r:id="rId18">
          <objectPr defaultSize="0" autoPict="0" r:id="rId19">
            <anchor moveWithCells="1">
              <from>
                <xdr:col>1</xdr:col>
                <xdr:colOff>38100</xdr:colOff>
                <xdr:row>190</xdr:row>
                <xdr:rowOff>0</xdr:rowOff>
              </from>
              <to>
                <xdr:col>3</xdr:col>
                <xdr:colOff>38100</xdr:colOff>
                <xdr:row>201</xdr:row>
                <xdr:rowOff>152400</xdr:rowOff>
              </to>
            </anchor>
          </objectPr>
        </oleObject>
      </mc:Choice>
      <mc:Fallback>
        <oleObject progId="AutoCAD.Drawing.14" shapeId="2081" r:id="rId18"/>
      </mc:Fallback>
    </mc:AlternateContent>
    <mc:AlternateContent xmlns:mc="http://schemas.openxmlformats.org/markup-compatibility/2006">
      <mc:Choice Requires="x14">
        <oleObject progId="AutoCAD.Drawing.14" shapeId="2082" r:id="rId20">
          <objectPr defaultSize="0" autoPict="0" r:id="rId21">
            <anchor moveWithCells="1">
              <from>
                <xdr:col>1</xdr:col>
                <xdr:colOff>57150</xdr:colOff>
                <xdr:row>217</xdr:row>
                <xdr:rowOff>152400</xdr:rowOff>
              </from>
              <to>
                <xdr:col>3</xdr:col>
                <xdr:colOff>57150</xdr:colOff>
                <xdr:row>229</xdr:row>
                <xdr:rowOff>142875</xdr:rowOff>
              </to>
            </anchor>
          </objectPr>
        </oleObject>
      </mc:Choice>
      <mc:Fallback>
        <oleObject progId="AutoCAD.Drawing.14" shapeId="2082" r:id="rId20"/>
      </mc:Fallback>
    </mc:AlternateContent>
    <mc:AlternateContent xmlns:mc="http://schemas.openxmlformats.org/markup-compatibility/2006">
      <mc:Choice Requires="x14">
        <oleObject progId="AutoCAD.Drawing.14" shapeId="2083" r:id="rId22">
          <objectPr defaultSize="0" autoPict="0" r:id="rId23">
            <anchor moveWithCells="1">
              <from>
                <xdr:col>1</xdr:col>
                <xdr:colOff>47625</xdr:colOff>
                <xdr:row>245</xdr:row>
                <xdr:rowOff>0</xdr:rowOff>
              </from>
              <to>
                <xdr:col>3</xdr:col>
                <xdr:colOff>47625</xdr:colOff>
                <xdr:row>256</xdr:row>
                <xdr:rowOff>114300</xdr:rowOff>
              </to>
            </anchor>
          </objectPr>
        </oleObject>
      </mc:Choice>
      <mc:Fallback>
        <oleObject progId="AutoCAD.Drawing.14" shapeId="2083" r:id="rId22"/>
      </mc:Fallback>
    </mc:AlternateContent>
  </oleObjects>
  <mc:AlternateContent xmlns:mc="http://schemas.openxmlformats.org/markup-compatibility/2006">
    <mc:Choice Requires="x14">
      <controls>
        <mc:AlternateContent xmlns:mc="http://schemas.openxmlformats.org/markup-compatibility/2006">
          <mc:Choice Requires="x14">
            <control shapeId="2049" r:id="rId24" name="Button 1">
              <controlPr defaultSize="0" autoFill="0" autoLine="0" autoPict="0" macro="[0]!Makro2">
                <anchor moveWithCells="1" sizeWithCells="1">
                  <from>
                    <xdr:col>3</xdr:col>
                    <xdr:colOff>9525</xdr:colOff>
                    <xdr:row>21</xdr:row>
                    <xdr:rowOff>142875</xdr:rowOff>
                  </from>
                  <to>
                    <xdr:col>4</xdr:col>
                    <xdr:colOff>0</xdr:colOff>
                    <xdr:row>23</xdr:row>
                    <xdr:rowOff>9525</xdr:rowOff>
                  </to>
                </anchor>
              </controlPr>
            </control>
          </mc:Choice>
        </mc:AlternateContent>
        <mc:AlternateContent xmlns:mc="http://schemas.openxmlformats.org/markup-compatibility/2006">
          <mc:Choice Requires="x14">
            <control shapeId="2050" r:id="rId25" name="Button 2">
              <controlPr defaultSize="0" autoFill="0" autoLine="0" autoPict="0" macro="[0]!Makro3">
                <anchor moveWithCells="1" sizeWithCells="1">
                  <from>
                    <xdr:col>3</xdr:col>
                    <xdr:colOff>9525</xdr:colOff>
                    <xdr:row>23</xdr:row>
                    <xdr:rowOff>152400</xdr:rowOff>
                  </from>
                  <to>
                    <xdr:col>4</xdr:col>
                    <xdr:colOff>0</xdr:colOff>
                    <xdr:row>25</xdr:row>
                    <xdr:rowOff>19050</xdr:rowOff>
                  </to>
                </anchor>
              </controlPr>
            </control>
          </mc:Choice>
        </mc:AlternateContent>
        <mc:AlternateContent xmlns:mc="http://schemas.openxmlformats.org/markup-compatibility/2006">
          <mc:Choice Requires="x14">
            <control shapeId="2051" r:id="rId26" name="Button 3">
              <controlPr defaultSize="0" autoFill="0" autoLine="0" autoPict="0" macro="[0]!Makro5">
                <anchor moveWithCells="1" sizeWithCells="1">
                  <from>
                    <xdr:col>3</xdr:col>
                    <xdr:colOff>9525</xdr:colOff>
                    <xdr:row>48</xdr:row>
                    <xdr:rowOff>142875</xdr:rowOff>
                  </from>
                  <to>
                    <xdr:col>4</xdr:col>
                    <xdr:colOff>0</xdr:colOff>
                    <xdr:row>50</xdr:row>
                    <xdr:rowOff>9525</xdr:rowOff>
                  </to>
                </anchor>
              </controlPr>
            </control>
          </mc:Choice>
        </mc:AlternateContent>
        <mc:AlternateContent xmlns:mc="http://schemas.openxmlformats.org/markup-compatibility/2006">
          <mc:Choice Requires="x14">
            <control shapeId="2052" r:id="rId27" name="Button 4">
              <controlPr defaultSize="0" autoFill="0" autoLine="0" autoPict="0" macro="[0]!Makro6">
                <anchor moveWithCells="1" sizeWithCells="1">
                  <from>
                    <xdr:col>3</xdr:col>
                    <xdr:colOff>0</xdr:colOff>
                    <xdr:row>50</xdr:row>
                    <xdr:rowOff>152400</xdr:rowOff>
                  </from>
                  <to>
                    <xdr:col>3</xdr:col>
                    <xdr:colOff>838200</xdr:colOff>
                    <xdr:row>52</xdr:row>
                    <xdr:rowOff>0</xdr:rowOff>
                  </to>
                </anchor>
              </controlPr>
            </control>
          </mc:Choice>
        </mc:AlternateContent>
        <mc:AlternateContent xmlns:mc="http://schemas.openxmlformats.org/markup-compatibility/2006">
          <mc:Choice Requires="x14">
            <control shapeId="2053" r:id="rId28" name="Button 5">
              <controlPr defaultSize="0" autoFill="0" autoLine="0" autoPict="0" macro="[0]!Makro8">
                <anchor moveWithCells="1" sizeWithCells="1">
                  <from>
                    <xdr:col>3</xdr:col>
                    <xdr:colOff>9525</xdr:colOff>
                    <xdr:row>75</xdr:row>
                    <xdr:rowOff>142875</xdr:rowOff>
                  </from>
                  <to>
                    <xdr:col>4</xdr:col>
                    <xdr:colOff>0</xdr:colOff>
                    <xdr:row>77</xdr:row>
                    <xdr:rowOff>9525</xdr:rowOff>
                  </to>
                </anchor>
              </controlPr>
            </control>
          </mc:Choice>
        </mc:AlternateContent>
        <mc:AlternateContent xmlns:mc="http://schemas.openxmlformats.org/markup-compatibility/2006">
          <mc:Choice Requires="x14">
            <control shapeId="2054" r:id="rId29" name="Button 6">
              <controlPr defaultSize="0" autoFill="0" autoLine="0" autoPict="0" macro="[0]!Makro9">
                <anchor moveWithCells="1" sizeWithCells="1">
                  <from>
                    <xdr:col>3</xdr:col>
                    <xdr:colOff>9525</xdr:colOff>
                    <xdr:row>77</xdr:row>
                    <xdr:rowOff>152400</xdr:rowOff>
                  </from>
                  <to>
                    <xdr:col>4</xdr:col>
                    <xdr:colOff>0</xdr:colOff>
                    <xdr:row>79</xdr:row>
                    <xdr:rowOff>19050</xdr:rowOff>
                  </to>
                </anchor>
              </controlPr>
            </control>
          </mc:Choice>
        </mc:AlternateContent>
        <mc:AlternateContent xmlns:mc="http://schemas.openxmlformats.org/markup-compatibility/2006">
          <mc:Choice Requires="x14">
            <control shapeId="2055" r:id="rId30" name="Button 7">
              <controlPr defaultSize="0" autoFill="0" autoLine="0" autoPict="0" macro="[0]!Makro11">
                <anchor moveWithCells="1" sizeWithCells="1">
                  <from>
                    <xdr:col>3</xdr:col>
                    <xdr:colOff>9525</xdr:colOff>
                    <xdr:row>103</xdr:row>
                    <xdr:rowOff>142875</xdr:rowOff>
                  </from>
                  <to>
                    <xdr:col>4</xdr:col>
                    <xdr:colOff>0</xdr:colOff>
                    <xdr:row>105</xdr:row>
                    <xdr:rowOff>9525</xdr:rowOff>
                  </to>
                </anchor>
              </controlPr>
            </control>
          </mc:Choice>
        </mc:AlternateContent>
        <mc:AlternateContent xmlns:mc="http://schemas.openxmlformats.org/markup-compatibility/2006">
          <mc:Choice Requires="x14">
            <control shapeId="2056" r:id="rId31" name="Button 8">
              <controlPr defaultSize="0" autoFill="0" autoLine="0" autoPict="0" macro="[0]!Makro12">
                <anchor moveWithCells="1" sizeWithCells="1">
                  <from>
                    <xdr:col>3</xdr:col>
                    <xdr:colOff>9525</xdr:colOff>
                    <xdr:row>105</xdr:row>
                    <xdr:rowOff>152400</xdr:rowOff>
                  </from>
                  <to>
                    <xdr:col>4</xdr:col>
                    <xdr:colOff>0</xdr:colOff>
                    <xdr:row>107</xdr:row>
                    <xdr:rowOff>19050</xdr:rowOff>
                  </to>
                </anchor>
              </controlPr>
            </control>
          </mc:Choice>
        </mc:AlternateContent>
        <mc:AlternateContent xmlns:mc="http://schemas.openxmlformats.org/markup-compatibility/2006">
          <mc:Choice Requires="x14">
            <control shapeId="2057" r:id="rId32" name="Button 9">
              <controlPr defaultSize="0" autoFill="0" autoLine="0" autoPict="0" macro="[0]!Makro14">
                <anchor moveWithCells="1" sizeWithCells="1">
                  <from>
                    <xdr:col>3</xdr:col>
                    <xdr:colOff>9525</xdr:colOff>
                    <xdr:row>132</xdr:row>
                    <xdr:rowOff>142875</xdr:rowOff>
                  </from>
                  <to>
                    <xdr:col>4</xdr:col>
                    <xdr:colOff>0</xdr:colOff>
                    <xdr:row>134</xdr:row>
                    <xdr:rowOff>9525</xdr:rowOff>
                  </to>
                </anchor>
              </controlPr>
            </control>
          </mc:Choice>
        </mc:AlternateContent>
        <mc:AlternateContent xmlns:mc="http://schemas.openxmlformats.org/markup-compatibility/2006">
          <mc:Choice Requires="x14">
            <control shapeId="2058" r:id="rId33" name="Button 10">
              <controlPr defaultSize="0" autoFill="0" autoLine="0" autoPict="0" macro="[0]!Makro15">
                <anchor moveWithCells="1" sizeWithCells="1">
                  <from>
                    <xdr:col>3</xdr:col>
                    <xdr:colOff>9525</xdr:colOff>
                    <xdr:row>134</xdr:row>
                    <xdr:rowOff>152400</xdr:rowOff>
                  </from>
                  <to>
                    <xdr:col>4</xdr:col>
                    <xdr:colOff>0</xdr:colOff>
                    <xdr:row>136</xdr:row>
                    <xdr:rowOff>0</xdr:rowOff>
                  </to>
                </anchor>
              </controlPr>
            </control>
          </mc:Choice>
        </mc:AlternateContent>
        <mc:AlternateContent xmlns:mc="http://schemas.openxmlformats.org/markup-compatibility/2006">
          <mc:Choice Requires="x14">
            <control shapeId="2059" r:id="rId34" name="Button 11">
              <controlPr defaultSize="0" autoFill="0" autoLine="0" autoPict="0" macro="[0]!Makro17">
                <anchor moveWithCells="1" sizeWithCells="1">
                  <from>
                    <xdr:col>3</xdr:col>
                    <xdr:colOff>9525</xdr:colOff>
                    <xdr:row>157</xdr:row>
                    <xdr:rowOff>142875</xdr:rowOff>
                  </from>
                  <to>
                    <xdr:col>4</xdr:col>
                    <xdr:colOff>0</xdr:colOff>
                    <xdr:row>159</xdr:row>
                    <xdr:rowOff>9525</xdr:rowOff>
                  </to>
                </anchor>
              </controlPr>
            </control>
          </mc:Choice>
        </mc:AlternateContent>
        <mc:AlternateContent xmlns:mc="http://schemas.openxmlformats.org/markup-compatibility/2006">
          <mc:Choice Requires="x14">
            <control shapeId="2060" r:id="rId35" name="Button 12">
              <controlPr defaultSize="0" autoFill="0" autoLine="0" autoPict="0" macro="[0]!Makro18">
                <anchor moveWithCells="1" sizeWithCells="1">
                  <from>
                    <xdr:col>3</xdr:col>
                    <xdr:colOff>9525</xdr:colOff>
                    <xdr:row>159</xdr:row>
                    <xdr:rowOff>152400</xdr:rowOff>
                  </from>
                  <to>
                    <xdr:col>4</xdr:col>
                    <xdr:colOff>0</xdr:colOff>
                    <xdr:row>161</xdr:row>
                    <xdr:rowOff>19050</xdr:rowOff>
                  </to>
                </anchor>
              </controlPr>
            </control>
          </mc:Choice>
        </mc:AlternateContent>
        <mc:AlternateContent xmlns:mc="http://schemas.openxmlformats.org/markup-compatibility/2006">
          <mc:Choice Requires="x14">
            <control shapeId="2061" r:id="rId36" name="Button 13">
              <controlPr defaultSize="0" autoFill="0" autoLine="0" autoPict="0" macro="[0]!Makro20">
                <anchor moveWithCells="1" sizeWithCells="1">
                  <from>
                    <xdr:col>3</xdr:col>
                    <xdr:colOff>9525</xdr:colOff>
                    <xdr:row>184</xdr:row>
                    <xdr:rowOff>142875</xdr:rowOff>
                  </from>
                  <to>
                    <xdr:col>4</xdr:col>
                    <xdr:colOff>0</xdr:colOff>
                    <xdr:row>186</xdr:row>
                    <xdr:rowOff>9525</xdr:rowOff>
                  </to>
                </anchor>
              </controlPr>
            </control>
          </mc:Choice>
        </mc:AlternateContent>
        <mc:AlternateContent xmlns:mc="http://schemas.openxmlformats.org/markup-compatibility/2006">
          <mc:Choice Requires="x14">
            <control shapeId="2062" r:id="rId37" name="Button 14">
              <controlPr defaultSize="0" autoFill="0" autoLine="0" autoPict="0" macro="[0]!Makro21">
                <anchor moveWithCells="1" sizeWithCells="1">
                  <from>
                    <xdr:col>3</xdr:col>
                    <xdr:colOff>0</xdr:colOff>
                    <xdr:row>187</xdr:row>
                    <xdr:rowOff>9525</xdr:rowOff>
                  </from>
                  <to>
                    <xdr:col>3</xdr:col>
                    <xdr:colOff>838200</xdr:colOff>
                    <xdr:row>188</xdr:row>
                    <xdr:rowOff>38100</xdr:rowOff>
                  </to>
                </anchor>
              </controlPr>
            </control>
          </mc:Choice>
        </mc:AlternateContent>
        <mc:AlternateContent xmlns:mc="http://schemas.openxmlformats.org/markup-compatibility/2006">
          <mc:Choice Requires="x14">
            <control shapeId="2063" r:id="rId38" name="Button 15">
              <controlPr defaultSize="0" autoFill="0" autoLine="0" autoPict="0" macro="[0]!Makro23">
                <anchor moveWithCells="1" sizeWithCells="1">
                  <from>
                    <xdr:col>3</xdr:col>
                    <xdr:colOff>9525</xdr:colOff>
                    <xdr:row>212</xdr:row>
                    <xdr:rowOff>142875</xdr:rowOff>
                  </from>
                  <to>
                    <xdr:col>4</xdr:col>
                    <xdr:colOff>0</xdr:colOff>
                    <xdr:row>214</xdr:row>
                    <xdr:rowOff>9525</xdr:rowOff>
                  </to>
                </anchor>
              </controlPr>
            </control>
          </mc:Choice>
        </mc:AlternateContent>
        <mc:AlternateContent xmlns:mc="http://schemas.openxmlformats.org/markup-compatibility/2006">
          <mc:Choice Requires="x14">
            <control shapeId="2064" r:id="rId39" name="Button 16">
              <controlPr defaultSize="0" autoFill="0" autoLine="0" autoPict="0" macro="[0]!Makro24">
                <anchor moveWithCells="1" sizeWithCells="1">
                  <from>
                    <xdr:col>3</xdr:col>
                    <xdr:colOff>9525</xdr:colOff>
                    <xdr:row>214</xdr:row>
                    <xdr:rowOff>152400</xdr:rowOff>
                  </from>
                  <to>
                    <xdr:col>4</xdr:col>
                    <xdr:colOff>0</xdr:colOff>
                    <xdr:row>216</xdr:row>
                    <xdr:rowOff>19050</xdr:rowOff>
                  </to>
                </anchor>
              </controlPr>
            </control>
          </mc:Choice>
        </mc:AlternateContent>
        <mc:AlternateContent xmlns:mc="http://schemas.openxmlformats.org/markup-compatibility/2006">
          <mc:Choice Requires="x14">
            <control shapeId="2065" r:id="rId40" name="Button 17">
              <controlPr defaultSize="0" autoFill="0" autoLine="0" autoPict="0" macro="[0]!Makro26">
                <anchor moveWithCells="1" sizeWithCells="1">
                  <from>
                    <xdr:col>3</xdr:col>
                    <xdr:colOff>9525</xdr:colOff>
                    <xdr:row>240</xdr:row>
                    <xdr:rowOff>142875</xdr:rowOff>
                  </from>
                  <to>
                    <xdr:col>4</xdr:col>
                    <xdr:colOff>0</xdr:colOff>
                    <xdr:row>242</xdr:row>
                    <xdr:rowOff>9525</xdr:rowOff>
                  </to>
                </anchor>
              </controlPr>
            </control>
          </mc:Choice>
        </mc:AlternateContent>
        <mc:AlternateContent xmlns:mc="http://schemas.openxmlformats.org/markup-compatibility/2006">
          <mc:Choice Requires="x14">
            <control shapeId="2066" r:id="rId41" name="Button 18">
              <controlPr defaultSize="0" autoFill="0" autoLine="0" autoPict="0" macro="[0]!Makro27">
                <anchor moveWithCells="1" sizeWithCells="1">
                  <from>
                    <xdr:col>3</xdr:col>
                    <xdr:colOff>9525</xdr:colOff>
                    <xdr:row>242</xdr:row>
                    <xdr:rowOff>152400</xdr:rowOff>
                  </from>
                  <to>
                    <xdr:col>4</xdr:col>
                    <xdr:colOff>0</xdr:colOff>
                    <xdr:row>244</xdr:row>
                    <xdr:rowOff>0</xdr:rowOff>
                  </to>
                </anchor>
              </controlPr>
            </control>
          </mc:Choice>
        </mc:AlternateContent>
        <mc:AlternateContent xmlns:mc="http://schemas.openxmlformats.org/markup-compatibility/2006">
          <mc:Choice Requires="x14">
            <control shapeId="2067" r:id="rId42" name="Button 19">
              <controlPr defaultSize="0" autoFill="0" autoLine="0" autoPict="0" macro="[0]!Makro29">
                <anchor moveWithCells="1" sizeWithCells="1">
                  <from>
                    <xdr:col>3</xdr:col>
                    <xdr:colOff>9525</xdr:colOff>
                    <xdr:row>268</xdr:row>
                    <xdr:rowOff>142875</xdr:rowOff>
                  </from>
                  <to>
                    <xdr:col>4</xdr:col>
                    <xdr:colOff>0</xdr:colOff>
                    <xdr:row>270</xdr:row>
                    <xdr:rowOff>9525</xdr:rowOff>
                  </to>
                </anchor>
              </controlPr>
            </control>
          </mc:Choice>
        </mc:AlternateContent>
        <mc:AlternateContent xmlns:mc="http://schemas.openxmlformats.org/markup-compatibility/2006">
          <mc:Choice Requires="x14">
            <control shapeId="2068" r:id="rId43" name="Button 20">
              <controlPr defaultSize="0" autoFill="0" autoLine="0" autoPict="0" macro="[0]!Makro30">
                <anchor moveWithCells="1" sizeWithCells="1">
                  <from>
                    <xdr:col>3</xdr:col>
                    <xdr:colOff>9525</xdr:colOff>
                    <xdr:row>270</xdr:row>
                    <xdr:rowOff>152400</xdr:rowOff>
                  </from>
                  <to>
                    <xdr:col>4</xdr:col>
                    <xdr:colOff>0</xdr:colOff>
                    <xdr:row>272</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D313"/>
  <sheetViews>
    <sheetView workbookViewId="0">
      <selection activeCell="F73" sqref="F73"/>
    </sheetView>
  </sheetViews>
  <sheetFormatPr baseColWidth="10" defaultRowHeight="12.75" x14ac:dyDescent="0.2"/>
  <cols>
    <col min="1" max="1" width="12.7109375" customWidth="1"/>
    <col min="2" max="2" width="45.7109375" customWidth="1"/>
    <col min="3" max="4" width="12.7109375" customWidth="1"/>
  </cols>
  <sheetData>
    <row r="1" spans="1:4" x14ac:dyDescent="0.2">
      <c r="A1" s="29"/>
      <c r="B1" s="47" t="s">
        <v>141</v>
      </c>
      <c r="C1" s="45"/>
      <c r="D1" s="45"/>
    </row>
    <row r="2" spans="1:4" x14ac:dyDescent="0.2">
      <c r="A2" s="29"/>
      <c r="B2" s="30"/>
      <c r="C2" s="45"/>
      <c r="D2" s="45"/>
    </row>
    <row r="3" spans="1:4" x14ac:dyDescent="0.2">
      <c r="A3" s="29"/>
      <c r="B3" s="30"/>
      <c r="C3" s="45"/>
      <c r="D3" s="45"/>
    </row>
    <row r="4" spans="1:4" x14ac:dyDescent="0.2">
      <c r="A4" s="29"/>
      <c r="B4" s="30"/>
      <c r="C4" s="45"/>
      <c r="D4" s="45"/>
    </row>
    <row r="5" spans="1:4" x14ac:dyDescent="0.2">
      <c r="A5" s="29"/>
      <c r="B5" s="30"/>
      <c r="C5" s="45"/>
      <c r="D5" s="45"/>
    </row>
    <row r="6" spans="1:4" x14ac:dyDescent="0.2">
      <c r="A6" s="29"/>
      <c r="B6" s="30"/>
      <c r="C6" s="45"/>
      <c r="D6" s="45"/>
    </row>
    <row r="7" spans="1:4" x14ac:dyDescent="0.2">
      <c r="A7" s="29"/>
      <c r="B7" s="30"/>
      <c r="C7" s="45"/>
      <c r="D7" s="45"/>
    </row>
    <row r="8" spans="1:4" x14ac:dyDescent="0.2">
      <c r="A8" s="29"/>
      <c r="B8" s="30"/>
      <c r="C8" s="45"/>
      <c r="D8" s="45"/>
    </row>
    <row r="9" spans="1:4" x14ac:dyDescent="0.2">
      <c r="A9" s="29"/>
      <c r="B9" s="30"/>
      <c r="C9" s="45"/>
      <c r="D9" s="45"/>
    </row>
    <row r="10" spans="1:4" x14ac:dyDescent="0.2">
      <c r="A10" s="29"/>
      <c r="B10" s="30"/>
      <c r="C10" s="45"/>
      <c r="D10" s="45"/>
    </row>
    <row r="11" spans="1:4" x14ac:dyDescent="0.2">
      <c r="A11" s="29"/>
      <c r="B11" s="30"/>
      <c r="C11" s="45"/>
      <c r="D11" s="45"/>
    </row>
    <row r="12" spans="1:4" x14ac:dyDescent="0.2">
      <c r="A12" s="29"/>
      <c r="B12" s="30"/>
      <c r="C12" s="45"/>
      <c r="D12" s="45"/>
    </row>
    <row r="13" spans="1:4" ht="13.5" thickBot="1" x14ac:dyDescent="0.25">
      <c r="A13" s="29"/>
      <c r="B13" s="30"/>
      <c r="C13" s="45"/>
      <c r="D13" s="45"/>
    </row>
    <row r="14" spans="1:4" ht="15.75" x14ac:dyDescent="0.3">
      <c r="A14" s="29" t="s">
        <v>8</v>
      </c>
      <c r="B14" s="30" t="s">
        <v>106</v>
      </c>
      <c r="C14" s="45" t="s">
        <v>107</v>
      </c>
      <c r="D14" s="6">
        <v>7.5</v>
      </c>
    </row>
    <row r="15" spans="1:4" ht="15.75" x14ac:dyDescent="0.3">
      <c r="A15" s="29"/>
      <c r="B15" s="53" t="s">
        <v>156</v>
      </c>
      <c r="C15" s="45" t="s">
        <v>108</v>
      </c>
      <c r="D15" s="7">
        <v>65</v>
      </c>
    </row>
    <row r="16" spans="1:4" ht="15.75" x14ac:dyDescent="0.3">
      <c r="A16" s="29"/>
      <c r="B16" s="30"/>
      <c r="C16" s="45" t="s">
        <v>109</v>
      </c>
      <c r="D16" s="7">
        <v>145</v>
      </c>
    </row>
    <row r="17" spans="1:4" ht="15.75" x14ac:dyDescent="0.3">
      <c r="A17" s="29"/>
      <c r="B17" s="30" t="s">
        <v>110</v>
      </c>
      <c r="C17" s="45" t="s">
        <v>111</v>
      </c>
      <c r="D17" s="7">
        <v>40</v>
      </c>
    </row>
    <row r="18" spans="1:4" ht="15.75" x14ac:dyDescent="0.3">
      <c r="A18" s="29"/>
      <c r="B18" s="30"/>
      <c r="C18" s="45" t="s">
        <v>112</v>
      </c>
      <c r="D18" s="7">
        <v>45</v>
      </c>
    </row>
    <row r="19" spans="1:4" ht="16.5" thickBot="1" x14ac:dyDescent="0.35">
      <c r="A19" s="29"/>
      <c r="B19" s="30"/>
      <c r="C19" s="45" t="s">
        <v>113</v>
      </c>
      <c r="D19" s="56">
        <v>48</v>
      </c>
    </row>
    <row r="20" spans="1:4" ht="13.5" thickBot="1" x14ac:dyDescent="0.25">
      <c r="A20" s="29"/>
      <c r="B20" s="30"/>
      <c r="C20" s="45"/>
      <c r="D20" s="45"/>
    </row>
    <row r="21" spans="1:4" ht="16.5" thickBot="1" x14ac:dyDescent="0.35">
      <c r="A21" s="29"/>
      <c r="B21" s="30" t="s">
        <v>114</v>
      </c>
      <c r="C21" s="45" t="s">
        <v>115</v>
      </c>
      <c r="D21" s="57">
        <v>-0.34044000000000002</v>
      </c>
    </row>
    <row r="22" spans="1:4" x14ac:dyDescent="0.2">
      <c r="A22" s="29"/>
      <c r="B22" s="30"/>
      <c r="C22" s="45"/>
      <c r="D22" s="45"/>
    </row>
    <row r="23" spans="1:4" x14ac:dyDescent="0.2">
      <c r="A23" s="29"/>
      <c r="B23" s="30" t="s">
        <v>142</v>
      </c>
      <c r="C23" s="45"/>
      <c r="D23" s="45"/>
    </row>
    <row r="24" spans="1:4" x14ac:dyDescent="0.2">
      <c r="A24" s="29"/>
      <c r="B24" s="30"/>
      <c r="C24" s="45"/>
      <c r="D24" s="45"/>
    </row>
    <row r="25" spans="1:4" x14ac:dyDescent="0.2">
      <c r="A25" s="29"/>
      <c r="B25" s="30"/>
      <c r="C25" s="45"/>
      <c r="D25" s="45"/>
    </row>
    <row r="26" spans="1:4" x14ac:dyDescent="0.2">
      <c r="A26" s="29"/>
      <c r="B26" s="47" t="s">
        <v>143</v>
      </c>
      <c r="C26" s="45"/>
      <c r="D26" s="45"/>
    </row>
    <row r="27" spans="1:4" x14ac:dyDescent="0.2">
      <c r="A27" s="29"/>
      <c r="B27" s="30"/>
      <c r="C27" s="45"/>
      <c r="D27" s="45"/>
    </row>
    <row r="28" spans="1:4" x14ac:dyDescent="0.2">
      <c r="A28" s="29"/>
      <c r="B28" s="30"/>
      <c r="C28" s="45"/>
      <c r="D28" s="45"/>
    </row>
    <row r="29" spans="1:4" x14ac:dyDescent="0.2">
      <c r="A29" s="29"/>
      <c r="B29" s="30"/>
      <c r="C29" s="45"/>
      <c r="D29" s="45"/>
    </row>
    <row r="30" spans="1:4" x14ac:dyDescent="0.2">
      <c r="A30" s="29"/>
      <c r="B30" s="30"/>
      <c r="C30" s="45"/>
      <c r="D30" s="45"/>
    </row>
    <row r="31" spans="1:4" x14ac:dyDescent="0.2">
      <c r="A31" s="29"/>
      <c r="B31" s="30"/>
      <c r="C31" s="45"/>
      <c r="D31" s="45"/>
    </row>
    <row r="32" spans="1:4" x14ac:dyDescent="0.2">
      <c r="A32" s="29"/>
      <c r="B32" s="30"/>
      <c r="C32" s="45"/>
      <c r="D32" s="45"/>
    </row>
    <row r="33" spans="1:4" x14ac:dyDescent="0.2">
      <c r="A33" s="29"/>
      <c r="B33" s="30"/>
      <c r="C33" s="45"/>
      <c r="D33" s="45"/>
    </row>
    <row r="34" spans="1:4" x14ac:dyDescent="0.2">
      <c r="A34" s="29"/>
      <c r="B34" s="30"/>
      <c r="C34" s="45"/>
      <c r="D34" s="45"/>
    </row>
    <row r="35" spans="1:4" x14ac:dyDescent="0.2">
      <c r="A35" s="29"/>
      <c r="B35" s="30"/>
      <c r="C35" s="45"/>
      <c r="D35" s="45"/>
    </row>
    <row r="36" spans="1:4" x14ac:dyDescent="0.2">
      <c r="A36" s="29"/>
      <c r="B36" s="30"/>
      <c r="C36" s="45"/>
      <c r="D36" s="45"/>
    </row>
    <row r="37" spans="1:4" x14ac:dyDescent="0.2">
      <c r="A37" s="29"/>
      <c r="B37" s="30"/>
      <c r="C37" s="45"/>
      <c r="D37" s="45"/>
    </row>
    <row r="38" spans="1:4" x14ac:dyDescent="0.2">
      <c r="A38" s="29"/>
      <c r="B38" s="30"/>
      <c r="C38" s="45"/>
      <c r="D38" s="45"/>
    </row>
    <row r="39" spans="1:4" ht="13.5" thickBot="1" x14ac:dyDescent="0.25">
      <c r="A39" s="29"/>
      <c r="B39" s="30"/>
      <c r="C39" s="45"/>
      <c r="D39" s="45"/>
    </row>
    <row r="40" spans="1:4" ht="15.75" x14ac:dyDescent="0.3">
      <c r="A40" s="29" t="s">
        <v>8</v>
      </c>
      <c r="B40" s="30" t="s">
        <v>106</v>
      </c>
      <c r="C40" s="45" t="s">
        <v>108</v>
      </c>
      <c r="D40" s="6">
        <v>0</v>
      </c>
    </row>
    <row r="41" spans="1:4" ht="15.75" x14ac:dyDescent="0.3">
      <c r="A41" s="29"/>
      <c r="B41" s="30"/>
      <c r="C41" s="45" t="s">
        <v>118</v>
      </c>
      <c r="D41" s="7">
        <v>80</v>
      </c>
    </row>
    <row r="42" spans="1:4" ht="16.5" thickBot="1" x14ac:dyDescent="0.35">
      <c r="A42" s="29"/>
      <c r="B42" s="30"/>
      <c r="C42" s="45" t="s">
        <v>119</v>
      </c>
      <c r="D42" s="56">
        <v>65</v>
      </c>
    </row>
    <row r="43" spans="1:4" ht="15.75" x14ac:dyDescent="0.3">
      <c r="A43" s="29"/>
      <c r="B43" s="30"/>
      <c r="C43" s="45" t="s">
        <v>120</v>
      </c>
      <c r="D43" s="46">
        <f>D16</f>
        <v>145</v>
      </c>
    </row>
    <row r="44" spans="1:4" ht="13.5" thickBot="1" x14ac:dyDescent="0.25">
      <c r="A44" s="29"/>
      <c r="B44" s="30" t="s">
        <v>110</v>
      </c>
      <c r="C44" s="45"/>
      <c r="D44" s="46"/>
    </row>
    <row r="45" spans="1:4" ht="15.75" x14ac:dyDescent="0.3">
      <c r="A45" s="29"/>
      <c r="B45" s="30"/>
      <c r="C45" s="45" t="s">
        <v>112</v>
      </c>
      <c r="D45" s="58">
        <v>45</v>
      </c>
    </row>
    <row r="46" spans="1:4" ht="16.5" thickBot="1" x14ac:dyDescent="0.35">
      <c r="A46" s="29"/>
      <c r="B46" s="30"/>
      <c r="C46" s="45" t="s">
        <v>113</v>
      </c>
      <c r="D46" s="59">
        <v>48</v>
      </c>
    </row>
    <row r="47" spans="1:4" ht="13.5" thickBot="1" x14ac:dyDescent="0.25">
      <c r="A47" s="29"/>
      <c r="B47" s="30"/>
      <c r="C47" s="45"/>
      <c r="D47" s="45"/>
    </row>
    <row r="48" spans="1:4" ht="16.5" thickBot="1" x14ac:dyDescent="0.35">
      <c r="A48" s="29"/>
      <c r="B48" s="30" t="s">
        <v>114</v>
      </c>
      <c r="C48" s="45" t="s">
        <v>121</v>
      </c>
      <c r="D48" s="57">
        <v>-7.2999999999999995E-2</v>
      </c>
    </row>
    <row r="49" spans="1:4" x14ac:dyDescent="0.2">
      <c r="A49" s="29"/>
      <c r="B49" s="30"/>
      <c r="C49" s="45"/>
      <c r="D49" s="45"/>
    </row>
    <row r="50" spans="1:4" x14ac:dyDescent="0.2">
      <c r="A50" s="29"/>
      <c r="B50" s="30" t="s">
        <v>142</v>
      </c>
      <c r="C50" s="45"/>
      <c r="D50" s="45">
        <v>0</v>
      </c>
    </row>
    <row r="51" spans="1:4" x14ac:dyDescent="0.2">
      <c r="A51" s="29"/>
      <c r="B51" s="30"/>
      <c r="C51" s="45"/>
      <c r="D51" s="45"/>
    </row>
    <row r="52" spans="1:4" x14ac:dyDescent="0.2">
      <c r="A52" s="29"/>
      <c r="B52" s="30"/>
      <c r="C52" s="45"/>
      <c r="D52" s="45"/>
    </row>
    <row r="53" spans="1:4" x14ac:dyDescent="0.2">
      <c r="A53" s="29"/>
      <c r="B53" s="47" t="s">
        <v>144</v>
      </c>
      <c r="C53" s="45"/>
      <c r="D53" s="45"/>
    </row>
    <row r="54" spans="1:4" x14ac:dyDescent="0.2">
      <c r="A54" s="29"/>
      <c r="B54" s="30"/>
      <c r="C54" s="45"/>
      <c r="D54" s="45"/>
    </row>
    <row r="55" spans="1:4" x14ac:dyDescent="0.2">
      <c r="A55" s="29"/>
      <c r="B55" s="30"/>
      <c r="C55" s="45"/>
      <c r="D55" s="45"/>
    </row>
    <row r="56" spans="1:4" x14ac:dyDescent="0.2">
      <c r="A56" s="29"/>
      <c r="B56" s="30"/>
      <c r="C56" s="45"/>
      <c r="D56" s="45"/>
    </row>
    <row r="57" spans="1:4" x14ac:dyDescent="0.2">
      <c r="A57" s="29"/>
      <c r="B57" s="30"/>
      <c r="C57" s="45"/>
      <c r="D57" s="45"/>
    </row>
    <row r="58" spans="1:4" x14ac:dyDescent="0.2">
      <c r="A58" s="29"/>
      <c r="B58" s="30"/>
      <c r="C58" s="45"/>
      <c r="D58" s="45"/>
    </row>
    <row r="59" spans="1:4" x14ac:dyDescent="0.2">
      <c r="A59" s="29"/>
      <c r="B59" s="30"/>
      <c r="C59" s="45"/>
      <c r="D59" s="45"/>
    </row>
    <row r="60" spans="1:4" x14ac:dyDescent="0.2">
      <c r="A60" s="29"/>
      <c r="B60" s="30"/>
      <c r="C60" s="45"/>
      <c r="D60" s="45"/>
    </row>
    <row r="61" spans="1:4" x14ac:dyDescent="0.2">
      <c r="A61" s="29"/>
      <c r="B61" s="30"/>
      <c r="C61" s="45"/>
      <c r="D61" s="45"/>
    </row>
    <row r="62" spans="1:4" x14ac:dyDescent="0.2">
      <c r="A62" s="29"/>
      <c r="B62" s="30"/>
      <c r="C62" s="45"/>
      <c r="D62" s="45"/>
    </row>
    <row r="63" spans="1:4" x14ac:dyDescent="0.2">
      <c r="A63" s="29"/>
      <c r="B63" s="30"/>
      <c r="C63" s="45"/>
      <c r="D63" s="45"/>
    </row>
    <row r="64" spans="1:4" x14ac:dyDescent="0.2">
      <c r="A64" s="29"/>
      <c r="B64" s="30"/>
      <c r="C64" s="45"/>
      <c r="D64" s="45"/>
    </row>
    <row r="65" spans="1:4" ht="13.5" thickBot="1" x14ac:dyDescent="0.25">
      <c r="A65" s="29"/>
      <c r="B65" s="30"/>
      <c r="C65" s="45"/>
      <c r="D65" s="45"/>
    </row>
    <row r="66" spans="1:4" ht="15.75" x14ac:dyDescent="0.3">
      <c r="A66" s="29" t="s">
        <v>8</v>
      </c>
      <c r="B66" s="30" t="s">
        <v>106</v>
      </c>
      <c r="C66" s="45" t="s">
        <v>107</v>
      </c>
      <c r="D66" s="6">
        <v>1</v>
      </c>
    </row>
    <row r="67" spans="1:4" ht="15.75" x14ac:dyDescent="0.3">
      <c r="A67" s="29"/>
      <c r="B67" s="30"/>
      <c r="C67" s="45" t="s">
        <v>108</v>
      </c>
      <c r="D67" s="7">
        <v>2</v>
      </c>
    </row>
    <row r="68" spans="1:4" ht="15.75" x14ac:dyDescent="0.3">
      <c r="A68" s="29"/>
      <c r="B68" s="30"/>
      <c r="C68" s="45" t="s">
        <v>118</v>
      </c>
      <c r="D68" s="7">
        <v>3</v>
      </c>
    </row>
    <row r="69" spans="1:4" ht="16.5" thickBot="1" x14ac:dyDescent="0.35">
      <c r="A69" s="29"/>
      <c r="B69" s="30"/>
      <c r="C69" s="45" t="s">
        <v>119</v>
      </c>
      <c r="D69" s="56">
        <v>4</v>
      </c>
    </row>
    <row r="70" spans="1:4" ht="16.5" thickBot="1" x14ac:dyDescent="0.35">
      <c r="A70" s="29"/>
      <c r="B70" s="30"/>
      <c r="C70" s="45" t="s">
        <v>120</v>
      </c>
      <c r="D70" s="46">
        <f>D16</f>
        <v>145</v>
      </c>
    </row>
    <row r="71" spans="1:4" ht="15.75" x14ac:dyDescent="0.3">
      <c r="A71" s="29"/>
      <c r="B71" s="30" t="s">
        <v>110</v>
      </c>
      <c r="C71" s="45" t="s">
        <v>111</v>
      </c>
      <c r="D71" s="58">
        <v>1</v>
      </c>
    </row>
    <row r="72" spans="1:4" ht="15.75" x14ac:dyDescent="0.3">
      <c r="A72" s="29"/>
      <c r="B72" s="30"/>
      <c r="C72" s="45" t="s">
        <v>112</v>
      </c>
      <c r="D72" s="60">
        <v>2</v>
      </c>
    </row>
    <row r="73" spans="1:4" ht="16.5" thickBot="1" x14ac:dyDescent="0.35">
      <c r="A73" s="29"/>
      <c r="B73" s="30"/>
      <c r="C73" s="45" t="s">
        <v>113</v>
      </c>
      <c r="D73" s="59">
        <v>3</v>
      </c>
    </row>
    <row r="74" spans="1:4" ht="13.5" thickBot="1" x14ac:dyDescent="0.25">
      <c r="A74" s="29"/>
      <c r="B74" s="30"/>
      <c r="C74" s="45"/>
      <c r="D74" s="45"/>
    </row>
    <row r="75" spans="1:4" ht="16.5" thickBot="1" x14ac:dyDescent="0.35">
      <c r="A75" s="29"/>
      <c r="B75" s="30" t="s">
        <v>114</v>
      </c>
      <c r="C75" s="45" t="s">
        <v>121</v>
      </c>
      <c r="D75" s="57">
        <v>0</v>
      </c>
    </row>
    <row r="76" spans="1:4" x14ac:dyDescent="0.2">
      <c r="A76" s="29"/>
      <c r="B76" s="30"/>
      <c r="C76" s="45"/>
      <c r="D76" s="45"/>
    </row>
    <row r="77" spans="1:4" x14ac:dyDescent="0.2">
      <c r="A77" s="29"/>
      <c r="B77" s="30" t="s">
        <v>142</v>
      </c>
      <c r="C77" s="45"/>
      <c r="D77" s="45"/>
    </row>
    <row r="78" spans="1:4" x14ac:dyDescent="0.2">
      <c r="A78" s="29"/>
      <c r="B78" s="30"/>
      <c r="C78" s="45"/>
      <c r="D78" s="45"/>
    </row>
    <row r="79" spans="1:4" x14ac:dyDescent="0.2">
      <c r="A79" s="29"/>
      <c r="B79" s="30"/>
      <c r="C79" s="45"/>
      <c r="D79" s="45"/>
    </row>
    <row r="80" spans="1:4" x14ac:dyDescent="0.2">
      <c r="A80" s="29"/>
      <c r="B80" s="30"/>
      <c r="C80" s="45"/>
      <c r="D80" s="45"/>
    </row>
    <row r="81" spans="1:4" x14ac:dyDescent="0.2">
      <c r="A81" s="29"/>
      <c r="B81" s="47" t="s">
        <v>145</v>
      </c>
      <c r="C81" s="45"/>
      <c r="D81" s="45"/>
    </row>
    <row r="82" spans="1:4" x14ac:dyDescent="0.2">
      <c r="A82" s="29"/>
      <c r="B82" s="30"/>
      <c r="C82" s="45"/>
      <c r="D82" s="45"/>
    </row>
    <row r="83" spans="1:4" x14ac:dyDescent="0.2">
      <c r="A83" s="29"/>
      <c r="B83" s="30"/>
      <c r="C83" s="45"/>
      <c r="D83" s="45"/>
    </row>
    <row r="84" spans="1:4" x14ac:dyDescent="0.2">
      <c r="A84" s="29"/>
      <c r="B84" s="30"/>
      <c r="C84" s="45"/>
      <c r="D84" s="45"/>
    </row>
    <row r="85" spans="1:4" x14ac:dyDescent="0.2">
      <c r="A85" s="29"/>
      <c r="B85" s="30"/>
      <c r="C85" s="45"/>
      <c r="D85" s="45"/>
    </row>
    <row r="86" spans="1:4" x14ac:dyDescent="0.2">
      <c r="A86" s="29"/>
      <c r="B86" s="30"/>
      <c r="C86" s="45"/>
      <c r="D86" s="45"/>
    </row>
    <row r="87" spans="1:4" x14ac:dyDescent="0.2">
      <c r="A87" s="29"/>
      <c r="B87" s="30"/>
      <c r="C87" s="45"/>
      <c r="D87" s="45"/>
    </row>
    <row r="88" spans="1:4" x14ac:dyDescent="0.2">
      <c r="A88" s="29"/>
      <c r="B88" s="30"/>
      <c r="C88" s="45"/>
      <c r="D88" s="45"/>
    </row>
    <row r="89" spans="1:4" x14ac:dyDescent="0.2">
      <c r="A89" s="29"/>
      <c r="B89" s="30"/>
      <c r="C89" s="45"/>
      <c r="D89" s="45"/>
    </row>
    <row r="90" spans="1:4" x14ac:dyDescent="0.2">
      <c r="A90" s="29"/>
      <c r="B90" s="30"/>
      <c r="C90" s="45"/>
      <c r="D90" s="45"/>
    </row>
    <row r="91" spans="1:4" x14ac:dyDescent="0.2">
      <c r="A91" s="29"/>
      <c r="B91" s="30"/>
      <c r="C91" s="45"/>
      <c r="D91" s="45"/>
    </row>
    <row r="92" spans="1:4" x14ac:dyDescent="0.2">
      <c r="A92" s="29"/>
      <c r="B92" s="30"/>
      <c r="C92" s="45"/>
      <c r="D92" s="45"/>
    </row>
    <row r="93" spans="1:4" ht="13.5" thickBot="1" x14ac:dyDescent="0.25">
      <c r="A93" s="29"/>
      <c r="B93" s="30"/>
      <c r="C93" s="45"/>
      <c r="D93" s="45"/>
    </row>
    <row r="94" spans="1:4" ht="15.75" x14ac:dyDescent="0.3">
      <c r="A94" s="29" t="s">
        <v>8</v>
      </c>
      <c r="B94" s="30" t="s">
        <v>106</v>
      </c>
      <c r="C94" s="45" t="s">
        <v>108</v>
      </c>
      <c r="D94" s="6">
        <v>1</v>
      </c>
    </row>
    <row r="95" spans="1:4" ht="15.75" x14ac:dyDescent="0.3">
      <c r="A95" s="29"/>
      <c r="B95" s="30"/>
      <c r="C95" s="45" t="s">
        <v>118</v>
      </c>
      <c r="D95" s="7">
        <v>2</v>
      </c>
    </row>
    <row r="96" spans="1:4" ht="16.5" thickBot="1" x14ac:dyDescent="0.35">
      <c r="A96" s="29"/>
      <c r="B96" s="30"/>
      <c r="C96" s="45" t="s">
        <v>119</v>
      </c>
      <c r="D96" s="56">
        <v>3</v>
      </c>
    </row>
    <row r="97" spans="1:4" ht="16.5" thickBot="1" x14ac:dyDescent="0.35">
      <c r="A97" s="29"/>
      <c r="B97" s="30"/>
      <c r="C97" s="45" t="s">
        <v>120</v>
      </c>
      <c r="D97" s="46">
        <f>D16</f>
        <v>145</v>
      </c>
    </row>
    <row r="98" spans="1:4" ht="13.5" thickBot="1" x14ac:dyDescent="0.25">
      <c r="A98" s="29"/>
      <c r="B98" s="30" t="s">
        <v>124</v>
      </c>
      <c r="C98" s="45" t="s">
        <v>125</v>
      </c>
      <c r="D98" s="57">
        <v>1</v>
      </c>
    </row>
    <row r="99" spans="1:4" ht="13.5" thickBot="1" x14ac:dyDescent="0.25">
      <c r="A99" s="29"/>
      <c r="B99" s="30" t="s">
        <v>110</v>
      </c>
      <c r="C99" s="45"/>
      <c r="D99" s="46"/>
    </row>
    <row r="100" spans="1:4" ht="15.75" x14ac:dyDescent="0.3">
      <c r="A100" s="29"/>
      <c r="B100" s="30"/>
      <c r="C100" s="45" t="s">
        <v>112</v>
      </c>
      <c r="D100" s="58">
        <v>2</v>
      </c>
    </row>
    <row r="101" spans="1:4" ht="16.5" thickBot="1" x14ac:dyDescent="0.35">
      <c r="A101" s="29"/>
      <c r="B101" s="30"/>
      <c r="C101" s="45" t="s">
        <v>113</v>
      </c>
      <c r="D101" s="59">
        <v>3</v>
      </c>
    </row>
    <row r="102" spans="1:4" ht="13.5" thickBot="1" x14ac:dyDescent="0.25">
      <c r="A102" s="29"/>
      <c r="B102" s="30"/>
      <c r="C102" s="45"/>
      <c r="D102" s="45"/>
    </row>
    <row r="103" spans="1:4" ht="16.5" thickBot="1" x14ac:dyDescent="0.35">
      <c r="A103" s="29"/>
      <c r="B103" s="30" t="s">
        <v>114</v>
      </c>
      <c r="C103" s="45" t="s">
        <v>121</v>
      </c>
      <c r="D103" s="57">
        <v>0</v>
      </c>
    </row>
    <row r="104" spans="1:4" x14ac:dyDescent="0.2">
      <c r="A104" s="29"/>
      <c r="B104" s="30"/>
      <c r="C104" s="45"/>
      <c r="D104" s="45"/>
    </row>
    <row r="105" spans="1:4" x14ac:dyDescent="0.2">
      <c r="A105" s="29"/>
      <c r="B105" s="30" t="s">
        <v>142</v>
      </c>
      <c r="C105" s="45"/>
      <c r="D105" s="45"/>
    </row>
    <row r="106" spans="1:4" x14ac:dyDescent="0.2">
      <c r="A106" s="29"/>
      <c r="B106" s="30"/>
      <c r="C106" s="45"/>
      <c r="D106" s="45"/>
    </row>
    <row r="107" spans="1:4" x14ac:dyDescent="0.2">
      <c r="A107" s="29"/>
      <c r="B107" s="30"/>
      <c r="C107" s="45"/>
      <c r="D107" s="45"/>
    </row>
    <row r="108" spans="1:4" x14ac:dyDescent="0.2">
      <c r="A108" s="29"/>
      <c r="B108" s="30"/>
      <c r="C108" s="45"/>
      <c r="D108" s="45"/>
    </row>
    <row r="109" spans="1:4" x14ac:dyDescent="0.2">
      <c r="A109" s="29"/>
      <c r="B109" s="47" t="s">
        <v>146</v>
      </c>
      <c r="C109" s="45"/>
      <c r="D109" s="45"/>
    </row>
    <row r="110" spans="1:4" x14ac:dyDescent="0.2">
      <c r="A110" s="29"/>
      <c r="B110" s="30"/>
      <c r="C110" s="45"/>
      <c r="D110" s="45"/>
    </row>
    <row r="111" spans="1:4" x14ac:dyDescent="0.2">
      <c r="A111" s="29"/>
      <c r="B111" s="30"/>
      <c r="C111" s="45"/>
      <c r="D111" s="45"/>
    </row>
    <row r="112" spans="1:4" x14ac:dyDescent="0.2">
      <c r="A112" s="29"/>
      <c r="B112" s="30"/>
      <c r="C112" s="45"/>
      <c r="D112" s="45"/>
    </row>
    <row r="113" spans="1:4" x14ac:dyDescent="0.2">
      <c r="A113" s="29"/>
      <c r="B113" s="30"/>
      <c r="C113" s="45"/>
      <c r="D113" s="45"/>
    </row>
    <row r="114" spans="1:4" x14ac:dyDescent="0.2">
      <c r="A114" s="29"/>
      <c r="B114" s="30"/>
      <c r="C114" s="45"/>
      <c r="D114" s="45"/>
    </row>
    <row r="115" spans="1:4" x14ac:dyDescent="0.2">
      <c r="A115" s="29"/>
      <c r="B115" s="30"/>
      <c r="C115" s="45"/>
      <c r="D115" s="45"/>
    </row>
    <row r="116" spans="1:4" x14ac:dyDescent="0.2">
      <c r="A116" s="29"/>
      <c r="B116" s="30"/>
      <c r="C116" s="45"/>
      <c r="D116" s="45"/>
    </row>
    <row r="117" spans="1:4" x14ac:dyDescent="0.2">
      <c r="A117" s="29"/>
      <c r="B117" s="30"/>
      <c r="C117" s="45"/>
      <c r="D117" s="45"/>
    </row>
    <row r="118" spans="1:4" x14ac:dyDescent="0.2">
      <c r="A118" s="29"/>
      <c r="B118" s="30"/>
      <c r="C118" s="45"/>
      <c r="D118" s="45"/>
    </row>
    <row r="119" spans="1:4" x14ac:dyDescent="0.2">
      <c r="A119" s="29"/>
      <c r="B119" s="30"/>
      <c r="C119" s="45"/>
      <c r="D119" s="45"/>
    </row>
    <row r="120" spans="1:4" x14ac:dyDescent="0.2">
      <c r="A120" s="29"/>
      <c r="B120" s="30"/>
      <c r="C120" s="45"/>
      <c r="D120" s="45"/>
    </row>
    <row r="121" spans="1:4" ht="13.5" thickBot="1" x14ac:dyDescent="0.25">
      <c r="A121" s="29"/>
      <c r="B121" s="30"/>
      <c r="C121" s="45"/>
      <c r="D121" s="45"/>
    </row>
    <row r="122" spans="1:4" ht="15.75" x14ac:dyDescent="0.3">
      <c r="A122" s="29" t="s">
        <v>8</v>
      </c>
      <c r="B122" s="30" t="s">
        <v>106</v>
      </c>
      <c r="C122" s="45" t="s">
        <v>107</v>
      </c>
      <c r="D122" s="6">
        <v>1</v>
      </c>
    </row>
    <row r="123" spans="1:4" ht="15.75" x14ac:dyDescent="0.3">
      <c r="A123" s="29"/>
      <c r="B123" s="30"/>
      <c r="C123" s="45" t="s">
        <v>108</v>
      </c>
      <c r="D123" s="7">
        <v>2</v>
      </c>
    </row>
    <row r="124" spans="1:4" ht="15.75" x14ac:dyDescent="0.3">
      <c r="A124" s="29"/>
      <c r="B124" s="30"/>
      <c r="C124" s="45" t="s">
        <v>118</v>
      </c>
      <c r="D124" s="7">
        <v>3</v>
      </c>
    </row>
    <row r="125" spans="1:4" ht="16.5" thickBot="1" x14ac:dyDescent="0.35">
      <c r="A125" s="29"/>
      <c r="B125" s="30"/>
      <c r="C125" s="45" t="s">
        <v>119</v>
      </c>
      <c r="D125" s="56">
        <v>4</v>
      </c>
    </row>
    <row r="126" spans="1:4" ht="16.5" thickBot="1" x14ac:dyDescent="0.35">
      <c r="A126" s="29"/>
      <c r="B126" s="30"/>
      <c r="C126" s="45" t="s">
        <v>120</v>
      </c>
      <c r="D126" s="46">
        <f>D16</f>
        <v>145</v>
      </c>
    </row>
    <row r="127" spans="1:4" x14ac:dyDescent="0.2">
      <c r="A127" s="29"/>
      <c r="B127" s="30" t="s">
        <v>124</v>
      </c>
      <c r="C127" s="45" t="s">
        <v>125</v>
      </c>
      <c r="D127" s="6">
        <v>1</v>
      </c>
    </row>
    <row r="128" spans="1:4" ht="15.75" x14ac:dyDescent="0.3">
      <c r="A128" s="29"/>
      <c r="B128" s="30" t="s">
        <v>110</v>
      </c>
      <c r="C128" s="45" t="s">
        <v>111</v>
      </c>
      <c r="D128" s="7">
        <v>2</v>
      </c>
    </row>
    <row r="129" spans="1:4" ht="15.75" x14ac:dyDescent="0.3">
      <c r="A129" s="29"/>
      <c r="B129" s="30"/>
      <c r="C129" s="45" t="s">
        <v>112</v>
      </c>
      <c r="D129" s="7">
        <v>3</v>
      </c>
    </row>
    <row r="130" spans="1:4" ht="16.5" thickBot="1" x14ac:dyDescent="0.35">
      <c r="A130" s="29"/>
      <c r="B130" s="30"/>
      <c r="C130" s="45" t="s">
        <v>113</v>
      </c>
      <c r="D130" s="56">
        <v>4</v>
      </c>
    </row>
    <row r="131" spans="1:4" ht="13.5" thickBot="1" x14ac:dyDescent="0.25">
      <c r="A131" s="29"/>
      <c r="B131" s="30"/>
      <c r="C131" s="45"/>
      <c r="D131" s="45"/>
    </row>
    <row r="132" spans="1:4" ht="16.5" thickBot="1" x14ac:dyDescent="0.35">
      <c r="A132" s="29"/>
      <c r="B132" s="30" t="s">
        <v>114</v>
      </c>
      <c r="C132" s="45" t="s">
        <v>121</v>
      </c>
      <c r="D132" s="57">
        <v>0</v>
      </c>
    </row>
    <row r="133" spans="1:4" x14ac:dyDescent="0.2">
      <c r="A133" s="29"/>
      <c r="B133" s="30"/>
      <c r="C133" s="45"/>
      <c r="D133" s="45"/>
    </row>
    <row r="134" spans="1:4" x14ac:dyDescent="0.2">
      <c r="A134" s="29"/>
      <c r="B134" s="30" t="s">
        <v>142</v>
      </c>
      <c r="C134" s="45"/>
      <c r="D134" s="45"/>
    </row>
    <row r="135" spans="1:4" x14ac:dyDescent="0.2">
      <c r="A135" s="29"/>
      <c r="B135" s="30"/>
      <c r="C135" s="45"/>
      <c r="D135" s="45"/>
    </row>
    <row r="136" spans="1:4" x14ac:dyDescent="0.2">
      <c r="A136" s="29"/>
      <c r="B136" s="30"/>
      <c r="C136" s="45"/>
      <c r="D136" s="45"/>
    </row>
    <row r="137" spans="1:4" x14ac:dyDescent="0.2">
      <c r="A137" s="29"/>
      <c r="B137" s="47" t="s">
        <v>147</v>
      </c>
      <c r="C137" s="45"/>
      <c r="D137" s="45"/>
    </row>
    <row r="138" spans="1:4" x14ac:dyDescent="0.2">
      <c r="A138" s="29"/>
      <c r="B138" s="30"/>
      <c r="C138" s="45"/>
      <c r="D138" s="45"/>
    </row>
    <row r="139" spans="1:4" x14ac:dyDescent="0.2">
      <c r="A139" s="29"/>
      <c r="B139" s="30"/>
      <c r="C139" s="45"/>
      <c r="D139" s="45"/>
    </row>
    <row r="140" spans="1:4" x14ac:dyDescent="0.2">
      <c r="A140" s="29"/>
      <c r="B140" s="30"/>
      <c r="C140" s="45"/>
      <c r="D140" s="45"/>
    </row>
    <row r="141" spans="1:4" x14ac:dyDescent="0.2">
      <c r="A141" s="29"/>
      <c r="B141" s="30"/>
      <c r="C141" s="45"/>
      <c r="D141" s="45"/>
    </row>
    <row r="142" spans="1:4" x14ac:dyDescent="0.2">
      <c r="A142" s="29"/>
      <c r="B142" s="30"/>
      <c r="C142" s="45"/>
      <c r="D142" s="45"/>
    </row>
    <row r="143" spans="1:4" x14ac:dyDescent="0.2">
      <c r="A143" s="29"/>
      <c r="B143" s="30"/>
      <c r="C143" s="45"/>
      <c r="D143" s="45"/>
    </row>
    <row r="144" spans="1:4" x14ac:dyDescent="0.2">
      <c r="A144" s="29"/>
      <c r="B144" s="30"/>
      <c r="C144" s="45"/>
      <c r="D144" s="45"/>
    </row>
    <row r="145" spans="1:4" x14ac:dyDescent="0.2">
      <c r="A145" s="29"/>
      <c r="B145" s="30"/>
      <c r="C145" s="45"/>
      <c r="D145" s="45"/>
    </row>
    <row r="146" spans="1:4" x14ac:dyDescent="0.2">
      <c r="A146" s="29"/>
      <c r="B146" s="30"/>
      <c r="C146" s="45"/>
      <c r="D146" s="45"/>
    </row>
    <row r="147" spans="1:4" x14ac:dyDescent="0.2">
      <c r="A147" s="29"/>
      <c r="B147" s="30"/>
      <c r="C147" s="45"/>
      <c r="D147" s="45"/>
    </row>
    <row r="148" spans="1:4" x14ac:dyDescent="0.2">
      <c r="A148" s="29"/>
      <c r="B148" s="30"/>
      <c r="C148" s="45"/>
      <c r="D148" s="45"/>
    </row>
    <row r="149" spans="1:4" ht="13.5" thickBot="1" x14ac:dyDescent="0.25">
      <c r="A149" s="29"/>
      <c r="B149" s="30"/>
      <c r="C149" s="45"/>
      <c r="D149" s="45"/>
    </row>
    <row r="150" spans="1:4" ht="15.75" x14ac:dyDescent="0.3">
      <c r="A150" s="29" t="s">
        <v>8</v>
      </c>
      <c r="B150" s="30" t="s">
        <v>106</v>
      </c>
      <c r="C150" s="45" t="s">
        <v>107</v>
      </c>
      <c r="D150" s="6">
        <v>7.5</v>
      </c>
    </row>
    <row r="151" spans="1:4" ht="15.75" x14ac:dyDescent="0.3">
      <c r="A151" s="29"/>
      <c r="B151" s="53" t="s">
        <v>156</v>
      </c>
      <c r="C151" s="45" t="s">
        <v>108</v>
      </c>
      <c r="D151" s="7">
        <v>65</v>
      </c>
    </row>
    <row r="152" spans="1:4" ht="15.75" x14ac:dyDescent="0.3">
      <c r="A152" s="29"/>
      <c r="B152" s="30"/>
      <c r="C152" s="45" t="s">
        <v>128</v>
      </c>
      <c r="D152" s="7">
        <v>145</v>
      </c>
    </row>
    <row r="153" spans="1:4" ht="15.75" x14ac:dyDescent="0.3">
      <c r="A153" s="29"/>
      <c r="B153" s="30" t="s">
        <v>110</v>
      </c>
      <c r="C153" s="45" t="s">
        <v>111</v>
      </c>
      <c r="D153" s="7">
        <v>40</v>
      </c>
    </row>
    <row r="154" spans="1:4" ht="15.75" x14ac:dyDescent="0.3">
      <c r="A154" s="29"/>
      <c r="B154" s="30"/>
      <c r="C154" s="45" t="s">
        <v>112</v>
      </c>
      <c r="D154" s="7">
        <v>45</v>
      </c>
    </row>
    <row r="155" spans="1:4" ht="16.5" thickBot="1" x14ac:dyDescent="0.35">
      <c r="A155" s="29"/>
      <c r="B155" s="30"/>
      <c r="C155" s="45" t="s">
        <v>113</v>
      </c>
      <c r="D155" s="56">
        <v>48</v>
      </c>
    </row>
    <row r="156" spans="1:4" ht="13.5" thickBot="1" x14ac:dyDescent="0.25">
      <c r="A156" s="29"/>
      <c r="B156" s="30"/>
      <c r="C156" s="45"/>
      <c r="D156" s="45"/>
    </row>
    <row r="157" spans="1:4" ht="16.5" thickBot="1" x14ac:dyDescent="0.35">
      <c r="A157" s="29"/>
      <c r="B157" s="30" t="s">
        <v>114</v>
      </c>
      <c r="C157" s="45" t="s">
        <v>129</v>
      </c>
      <c r="D157" s="57">
        <v>2.3310399999999998</v>
      </c>
    </row>
    <row r="158" spans="1:4" x14ac:dyDescent="0.2">
      <c r="A158" s="29"/>
      <c r="B158" s="30"/>
      <c r="C158" s="45"/>
      <c r="D158" s="45"/>
    </row>
    <row r="159" spans="1:4" x14ac:dyDescent="0.2">
      <c r="A159" s="29"/>
      <c r="B159" s="30" t="s">
        <v>148</v>
      </c>
      <c r="C159" s="45"/>
      <c r="D159" s="45"/>
    </row>
    <row r="160" spans="1:4" x14ac:dyDescent="0.2">
      <c r="A160" s="29"/>
      <c r="B160" s="30"/>
      <c r="C160" s="45"/>
      <c r="D160" s="45"/>
    </row>
    <row r="161" spans="1:4" x14ac:dyDescent="0.2">
      <c r="A161" s="29"/>
      <c r="B161" s="30"/>
      <c r="C161" s="45"/>
      <c r="D161" s="45"/>
    </row>
    <row r="162" spans="1:4" x14ac:dyDescent="0.2">
      <c r="A162" s="29"/>
      <c r="B162" s="47" t="s">
        <v>149</v>
      </c>
      <c r="C162" s="45"/>
      <c r="D162" s="45"/>
    </row>
    <row r="163" spans="1:4" x14ac:dyDescent="0.2">
      <c r="A163" s="29"/>
      <c r="B163" s="30"/>
      <c r="C163" s="45"/>
      <c r="D163" s="45"/>
    </row>
    <row r="164" spans="1:4" x14ac:dyDescent="0.2">
      <c r="A164" s="29"/>
      <c r="B164" s="30"/>
      <c r="C164" s="45"/>
      <c r="D164" s="45"/>
    </row>
    <row r="165" spans="1:4" x14ac:dyDescent="0.2">
      <c r="A165" s="29"/>
      <c r="B165" s="30"/>
      <c r="C165" s="45"/>
      <c r="D165" s="45"/>
    </row>
    <row r="166" spans="1:4" x14ac:dyDescent="0.2">
      <c r="A166" s="29"/>
      <c r="B166" s="30"/>
      <c r="C166" s="45"/>
      <c r="D166" s="45"/>
    </row>
    <row r="167" spans="1:4" x14ac:dyDescent="0.2">
      <c r="A167" s="29"/>
      <c r="B167" s="30"/>
      <c r="C167" s="45"/>
      <c r="D167" s="45"/>
    </row>
    <row r="168" spans="1:4" x14ac:dyDescent="0.2">
      <c r="A168" s="29"/>
      <c r="B168" s="30"/>
      <c r="C168" s="45"/>
      <c r="D168" s="45"/>
    </row>
    <row r="169" spans="1:4" x14ac:dyDescent="0.2">
      <c r="A169" s="29"/>
      <c r="B169" s="30"/>
      <c r="C169" s="45"/>
      <c r="D169" s="45"/>
    </row>
    <row r="170" spans="1:4" x14ac:dyDescent="0.2">
      <c r="A170" s="29"/>
      <c r="B170" s="30"/>
      <c r="C170" s="45"/>
      <c r="D170" s="45"/>
    </row>
    <row r="171" spans="1:4" x14ac:dyDescent="0.2">
      <c r="A171" s="29"/>
      <c r="B171" s="30"/>
      <c r="C171" s="45"/>
      <c r="D171" s="45"/>
    </row>
    <row r="172" spans="1:4" x14ac:dyDescent="0.2">
      <c r="A172" s="29"/>
      <c r="B172" s="30"/>
      <c r="C172" s="45"/>
      <c r="D172" s="45"/>
    </row>
    <row r="173" spans="1:4" x14ac:dyDescent="0.2">
      <c r="A173" s="29"/>
      <c r="B173" s="30"/>
      <c r="C173" s="45"/>
      <c r="D173" s="45"/>
    </row>
    <row r="174" spans="1:4" ht="13.5" thickBot="1" x14ac:dyDescent="0.25">
      <c r="A174" s="29"/>
      <c r="B174" s="30"/>
      <c r="C174" s="45"/>
      <c r="D174" s="45"/>
    </row>
    <row r="175" spans="1:4" ht="15.75" x14ac:dyDescent="0.3">
      <c r="A175" s="29" t="s">
        <v>8</v>
      </c>
      <c r="B175" s="30" t="s">
        <v>106</v>
      </c>
      <c r="C175" s="45" t="s">
        <v>108</v>
      </c>
      <c r="D175" s="6">
        <v>0</v>
      </c>
    </row>
    <row r="176" spans="1:4" ht="15.75" x14ac:dyDescent="0.3">
      <c r="A176" s="29"/>
      <c r="B176" s="30"/>
      <c r="C176" s="45" t="s">
        <v>118</v>
      </c>
      <c r="D176" s="7">
        <v>80</v>
      </c>
    </row>
    <row r="177" spans="1:4" ht="16.5" thickBot="1" x14ac:dyDescent="0.35">
      <c r="A177" s="29"/>
      <c r="B177" s="30"/>
      <c r="C177" s="45" t="s">
        <v>119</v>
      </c>
      <c r="D177" s="56">
        <v>65</v>
      </c>
    </row>
    <row r="178" spans="1:4" ht="15.75" x14ac:dyDescent="0.3">
      <c r="A178" s="29"/>
      <c r="B178" s="30"/>
      <c r="C178" s="45" t="s">
        <v>132</v>
      </c>
      <c r="D178" s="46">
        <f>D152</f>
        <v>145</v>
      </c>
    </row>
    <row r="179" spans="1:4" ht="13.5" thickBot="1" x14ac:dyDescent="0.25">
      <c r="A179" s="29"/>
      <c r="B179" s="30" t="s">
        <v>110</v>
      </c>
      <c r="C179" s="45"/>
      <c r="D179" s="46"/>
    </row>
    <row r="180" spans="1:4" ht="15.75" x14ac:dyDescent="0.3">
      <c r="A180" s="29"/>
      <c r="B180" s="30"/>
      <c r="C180" s="45" t="s">
        <v>112</v>
      </c>
      <c r="D180" s="58">
        <v>45</v>
      </c>
    </row>
    <row r="181" spans="1:4" ht="16.5" thickBot="1" x14ac:dyDescent="0.35">
      <c r="A181" s="29"/>
      <c r="B181" s="30"/>
      <c r="C181" s="45" t="s">
        <v>113</v>
      </c>
      <c r="D181" s="59">
        <v>48</v>
      </c>
    </row>
    <row r="182" spans="1:4" x14ac:dyDescent="0.2">
      <c r="A182" s="29"/>
      <c r="B182" s="30"/>
      <c r="C182" s="45"/>
      <c r="D182" s="46"/>
    </row>
    <row r="183" spans="1:4" ht="13.5" thickBot="1" x14ac:dyDescent="0.25">
      <c r="A183" s="29"/>
      <c r="B183" s="30"/>
      <c r="C183" s="45"/>
      <c r="D183" s="45"/>
    </row>
    <row r="184" spans="1:4" ht="16.5" thickBot="1" x14ac:dyDescent="0.35">
      <c r="A184" s="29"/>
      <c r="B184" s="30" t="s">
        <v>114</v>
      </c>
      <c r="C184" s="45" t="s">
        <v>121</v>
      </c>
      <c r="D184" s="57">
        <v>-7.2999999999999995E-2</v>
      </c>
    </row>
    <row r="185" spans="1:4" x14ac:dyDescent="0.2">
      <c r="A185" s="29"/>
      <c r="B185" s="30"/>
      <c r="C185" s="45"/>
      <c r="D185" s="45"/>
    </row>
    <row r="186" spans="1:4" x14ac:dyDescent="0.2">
      <c r="A186" s="29"/>
      <c r="B186" s="30" t="s">
        <v>148</v>
      </c>
      <c r="C186" s="45"/>
      <c r="D186" s="45"/>
    </row>
    <row r="187" spans="1:4" x14ac:dyDescent="0.2">
      <c r="A187" s="29"/>
      <c r="B187" s="30"/>
      <c r="C187" s="45"/>
      <c r="D187" s="45"/>
    </row>
    <row r="188" spans="1:4" x14ac:dyDescent="0.2">
      <c r="A188" s="29"/>
      <c r="B188" s="30"/>
      <c r="C188" s="45"/>
      <c r="D188" s="45"/>
    </row>
    <row r="189" spans="1:4" x14ac:dyDescent="0.2">
      <c r="A189" s="29"/>
      <c r="B189" s="30"/>
      <c r="C189" s="45"/>
      <c r="D189" s="45"/>
    </row>
    <row r="190" spans="1:4" x14ac:dyDescent="0.2">
      <c r="A190" s="29"/>
      <c r="B190" s="47" t="s">
        <v>150</v>
      </c>
      <c r="C190" s="45"/>
      <c r="D190" s="45"/>
    </row>
    <row r="191" spans="1:4" x14ac:dyDescent="0.2">
      <c r="A191" s="29"/>
      <c r="B191" s="30"/>
      <c r="C191" s="45"/>
      <c r="D191" s="45"/>
    </row>
    <row r="192" spans="1:4" x14ac:dyDescent="0.2">
      <c r="A192" s="29"/>
      <c r="B192" s="30"/>
      <c r="C192" s="45"/>
      <c r="D192" s="45"/>
    </row>
    <row r="193" spans="1:4" x14ac:dyDescent="0.2">
      <c r="A193" s="29"/>
      <c r="B193" s="30"/>
      <c r="C193" s="45"/>
      <c r="D193" s="45"/>
    </row>
    <row r="194" spans="1:4" x14ac:dyDescent="0.2">
      <c r="A194" s="29"/>
      <c r="B194" s="30"/>
      <c r="C194" s="45"/>
      <c r="D194" s="45"/>
    </row>
    <row r="195" spans="1:4" x14ac:dyDescent="0.2">
      <c r="A195" s="29"/>
      <c r="B195" s="30"/>
      <c r="C195" s="45"/>
      <c r="D195" s="45"/>
    </row>
    <row r="196" spans="1:4" x14ac:dyDescent="0.2">
      <c r="A196" s="29"/>
      <c r="B196" s="30"/>
      <c r="C196" s="45"/>
      <c r="D196" s="45"/>
    </row>
    <row r="197" spans="1:4" x14ac:dyDescent="0.2">
      <c r="A197" s="29"/>
      <c r="B197" s="30"/>
      <c r="C197" s="45"/>
      <c r="D197" s="45"/>
    </row>
    <row r="198" spans="1:4" x14ac:dyDescent="0.2">
      <c r="A198" s="29"/>
      <c r="B198" s="30"/>
      <c r="C198" s="45"/>
      <c r="D198" s="45"/>
    </row>
    <row r="199" spans="1:4" x14ac:dyDescent="0.2">
      <c r="A199" s="29"/>
      <c r="B199" s="30"/>
      <c r="C199" s="45"/>
      <c r="D199" s="45"/>
    </row>
    <row r="200" spans="1:4" x14ac:dyDescent="0.2">
      <c r="A200" s="29"/>
      <c r="B200" s="30"/>
      <c r="C200" s="45"/>
      <c r="D200" s="45"/>
    </row>
    <row r="201" spans="1:4" x14ac:dyDescent="0.2">
      <c r="A201" s="29"/>
      <c r="B201" s="30"/>
      <c r="C201" s="45"/>
      <c r="D201" s="45"/>
    </row>
    <row r="202" spans="1:4" ht="13.5" thickBot="1" x14ac:dyDescent="0.25">
      <c r="A202" s="29"/>
      <c r="B202" s="30"/>
      <c r="C202" s="45"/>
      <c r="D202" s="45"/>
    </row>
    <row r="203" spans="1:4" ht="15.75" x14ac:dyDescent="0.3">
      <c r="A203" s="29" t="s">
        <v>8</v>
      </c>
      <c r="B203" s="30" t="s">
        <v>106</v>
      </c>
      <c r="C203" s="45" t="s">
        <v>107</v>
      </c>
      <c r="D203" s="6">
        <v>72.5</v>
      </c>
    </row>
    <row r="204" spans="1:4" ht="15.75" x14ac:dyDescent="0.3">
      <c r="A204" s="29"/>
      <c r="B204" s="30"/>
      <c r="C204" s="45" t="s">
        <v>108</v>
      </c>
      <c r="D204" s="7">
        <v>130</v>
      </c>
    </row>
    <row r="205" spans="1:4" ht="15.75" x14ac:dyDescent="0.3">
      <c r="A205" s="29"/>
      <c r="B205" s="30"/>
      <c r="C205" s="45" t="s">
        <v>118</v>
      </c>
      <c r="D205" s="7">
        <v>210</v>
      </c>
    </row>
    <row r="206" spans="1:4" ht="16.5" thickBot="1" x14ac:dyDescent="0.35">
      <c r="A206" s="29"/>
      <c r="B206" s="30"/>
      <c r="C206" s="45" t="s">
        <v>119</v>
      </c>
      <c r="D206" s="56">
        <v>65</v>
      </c>
    </row>
    <row r="207" spans="1:4" ht="16.5" thickBot="1" x14ac:dyDescent="0.35">
      <c r="A207" s="29"/>
      <c r="B207" s="30"/>
      <c r="C207" s="45" t="s">
        <v>132</v>
      </c>
      <c r="D207" s="46">
        <f>D152</f>
        <v>145</v>
      </c>
    </row>
    <row r="208" spans="1:4" ht="15.75" x14ac:dyDescent="0.3">
      <c r="A208" s="29"/>
      <c r="B208" s="30" t="s">
        <v>110</v>
      </c>
      <c r="C208" s="45" t="s">
        <v>111</v>
      </c>
      <c r="D208" s="58">
        <v>40</v>
      </c>
    </row>
    <row r="209" spans="1:4" ht="15.75" x14ac:dyDescent="0.3">
      <c r="A209" s="29"/>
      <c r="B209" s="30"/>
      <c r="C209" s="45" t="s">
        <v>112</v>
      </c>
      <c r="D209" s="60">
        <v>45</v>
      </c>
    </row>
    <row r="210" spans="1:4" ht="16.5" thickBot="1" x14ac:dyDescent="0.35">
      <c r="A210" s="29"/>
      <c r="B210" s="30"/>
      <c r="C210" s="45" t="s">
        <v>113</v>
      </c>
      <c r="D210" s="59">
        <v>48</v>
      </c>
    </row>
    <row r="211" spans="1:4" ht="13.5" thickBot="1" x14ac:dyDescent="0.25">
      <c r="A211" s="29"/>
      <c r="B211" s="30"/>
      <c r="C211" s="45"/>
      <c r="D211" s="45"/>
    </row>
    <row r="212" spans="1:4" ht="16.5" thickBot="1" x14ac:dyDescent="0.35">
      <c r="A212" s="29"/>
      <c r="B212" s="30" t="s">
        <v>114</v>
      </c>
      <c r="C212" s="45" t="s">
        <v>121</v>
      </c>
      <c r="D212" s="57">
        <v>-1.8446</v>
      </c>
    </row>
    <row r="213" spans="1:4" x14ac:dyDescent="0.2">
      <c r="A213" s="29"/>
      <c r="B213" s="30"/>
      <c r="C213" s="45"/>
      <c r="D213" s="45"/>
    </row>
    <row r="214" spans="1:4" x14ac:dyDescent="0.2">
      <c r="A214" s="29"/>
      <c r="B214" s="30" t="s">
        <v>148</v>
      </c>
      <c r="C214" s="45"/>
      <c r="D214" s="45"/>
    </row>
    <row r="215" spans="1:4" x14ac:dyDescent="0.2">
      <c r="A215" s="29"/>
      <c r="B215" s="30"/>
      <c r="C215" s="45"/>
      <c r="D215" s="45"/>
    </row>
    <row r="216" spans="1:4" x14ac:dyDescent="0.2">
      <c r="A216" s="29"/>
      <c r="B216" s="30"/>
      <c r="C216" s="45"/>
      <c r="D216" s="45"/>
    </row>
    <row r="217" spans="1:4" x14ac:dyDescent="0.2">
      <c r="A217" s="29"/>
      <c r="B217" s="30"/>
      <c r="C217" s="45"/>
      <c r="D217" s="45"/>
    </row>
    <row r="218" spans="1:4" x14ac:dyDescent="0.2">
      <c r="A218" s="29"/>
      <c r="B218" s="47" t="s">
        <v>151</v>
      </c>
      <c r="C218" s="45"/>
      <c r="D218" s="45"/>
    </row>
    <row r="219" spans="1:4" x14ac:dyDescent="0.2">
      <c r="A219" s="29"/>
      <c r="B219" s="30"/>
      <c r="C219" s="45"/>
      <c r="D219" s="45"/>
    </row>
    <row r="220" spans="1:4" x14ac:dyDescent="0.2">
      <c r="A220" s="29"/>
      <c r="B220" s="30"/>
      <c r="C220" s="45"/>
      <c r="D220" s="45"/>
    </row>
    <row r="221" spans="1:4" x14ac:dyDescent="0.2">
      <c r="A221" s="29"/>
      <c r="B221" s="30"/>
      <c r="C221" s="45"/>
      <c r="D221" s="45"/>
    </row>
    <row r="222" spans="1:4" x14ac:dyDescent="0.2">
      <c r="A222" s="29"/>
      <c r="B222" s="30"/>
      <c r="C222" s="45"/>
      <c r="D222" s="45"/>
    </row>
    <row r="223" spans="1:4" x14ac:dyDescent="0.2">
      <c r="A223" s="29"/>
      <c r="B223" s="30"/>
      <c r="C223" s="45"/>
      <c r="D223" s="45"/>
    </row>
    <row r="224" spans="1:4" x14ac:dyDescent="0.2">
      <c r="A224" s="29"/>
      <c r="B224" s="30"/>
      <c r="C224" s="45"/>
      <c r="D224" s="45"/>
    </row>
    <row r="225" spans="1:4" x14ac:dyDescent="0.2">
      <c r="A225" s="29"/>
      <c r="B225" s="30"/>
      <c r="C225" s="45"/>
      <c r="D225" s="45"/>
    </row>
    <row r="226" spans="1:4" x14ac:dyDescent="0.2">
      <c r="A226" s="29"/>
      <c r="B226" s="30"/>
      <c r="C226" s="45"/>
      <c r="D226" s="45"/>
    </row>
    <row r="227" spans="1:4" x14ac:dyDescent="0.2">
      <c r="A227" s="29"/>
      <c r="B227" s="30"/>
      <c r="C227" s="45"/>
      <c r="D227" s="45"/>
    </row>
    <row r="228" spans="1:4" x14ac:dyDescent="0.2">
      <c r="A228" s="29"/>
      <c r="B228" s="30"/>
      <c r="C228" s="45"/>
      <c r="D228" s="45"/>
    </row>
    <row r="229" spans="1:4" x14ac:dyDescent="0.2">
      <c r="A229" s="29"/>
      <c r="B229" s="30"/>
      <c r="C229" s="45"/>
      <c r="D229" s="45"/>
    </row>
    <row r="230" spans="1:4" ht="13.5" thickBot="1" x14ac:dyDescent="0.25">
      <c r="A230" s="29"/>
      <c r="B230" s="30"/>
      <c r="C230" s="45"/>
      <c r="D230" s="45"/>
    </row>
    <row r="231" spans="1:4" ht="15.75" x14ac:dyDescent="0.3">
      <c r="A231" s="29" t="s">
        <v>8</v>
      </c>
      <c r="B231" s="30" t="s">
        <v>106</v>
      </c>
      <c r="C231" s="45" t="s">
        <v>135</v>
      </c>
      <c r="D231" s="6">
        <v>1</v>
      </c>
    </row>
    <row r="232" spans="1:4" ht="15.75" x14ac:dyDescent="0.3">
      <c r="A232" s="29"/>
      <c r="B232" s="30"/>
      <c r="C232" s="45" t="s">
        <v>136</v>
      </c>
      <c r="D232" s="7">
        <v>2</v>
      </c>
    </row>
    <row r="233" spans="1:4" ht="16.5" thickBot="1" x14ac:dyDescent="0.35">
      <c r="A233" s="29"/>
      <c r="B233" s="30"/>
      <c r="C233" s="45" t="s">
        <v>119</v>
      </c>
      <c r="D233" s="56">
        <v>3</v>
      </c>
    </row>
    <row r="234" spans="1:4" ht="16.5" thickBot="1" x14ac:dyDescent="0.35">
      <c r="A234" s="29"/>
      <c r="B234" s="30"/>
      <c r="C234" s="45" t="s">
        <v>132</v>
      </c>
      <c r="D234" s="46">
        <f>D152</f>
        <v>145</v>
      </c>
    </row>
    <row r="235" spans="1:4" ht="13.5" thickBot="1" x14ac:dyDescent="0.25">
      <c r="A235" s="29"/>
      <c r="B235" s="30" t="s">
        <v>124</v>
      </c>
      <c r="C235" s="45" t="s">
        <v>125</v>
      </c>
      <c r="D235" s="57">
        <v>1</v>
      </c>
    </row>
    <row r="236" spans="1:4" ht="13.5" thickBot="1" x14ac:dyDescent="0.25">
      <c r="A236" s="29"/>
      <c r="B236" s="30" t="s">
        <v>110</v>
      </c>
      <c r="C236" s="45"/>
      <c r="D236" s="46"/>
    </row>
    <row r="237" spans="1:4" ht="15.75" x14ac:dyDescent="0.3">
      <c r="A237" s="29"/>
      <c r="B237" s="30"/>
      <c r="C237" s="45" t="s">
        <v>112</v>
      </c>
      <c r="D237" s="58">
        <v>1</v>
      </c>
    </row>
    <row r="238" spans="1:4" ht="16.5" thickBot="1" x14ac:dyDescent="0.35">
      <c r="A238" s="29"/>
      <c r="B238" s="30"/>
      <c r="C238" s="45" t="s">
        <v>113</v>
      </c>
      <c r="D238" s="59">
        <v>2</v>
      </c>
    </row>
    <row r="239" spans="1:4" ht="13.5" thickBot="1" x14ac:dyDescent="0.25">
      <c r="A239" s="29"/>
      <c r="B239" s="30"/>
      <c r="C239" s="45"/>
      <c r="D239" s="45"/>
    </row>
    <row r="240" spans="1:4" ht="16.5" thickBot="1" x14ac:dyDescent="0.35">
      <c r="A240" s="29"/>
      <c r="B240" s="30" t="s">
        <v>114</v>
      </c>
      <c r="C240" s="45" t="s">
        <v>121</v>
      </c>
      <c r="D240" s="57">
        <v>0</v>
      </c>
    </row>
    <row r="241" spans="1:4" x14ac:dyDescent="0.2">
      <c r="A241" s="29"/>
      <c r="B241" s="30"/>
      <c r="C241" s="45"/>
      <c r="D241" s="45"/>
    </row>
    <row r="242" spans="1:4" x14ac:dyDescent="0.2">
      <c r="A242" s="29"/>
      <c r="B242" s="30" t="s">
        <v>148</v>
      </c>
      <c r="C242" s="45"/>
      <c r="D242" s="45"/>
    </row>
    <row r="243" spans="1:4" x14ac:dyDescent="0.2">
      <c r="A243" s="29"/>
      <c r="B243" s="30"/>
      <c r="C243" s="45"/>
      <c r="D243" s="45"/>
    </row>
    <row r="244" spans="1:4" x14ac:dyDescent="0.2">
      <c r="A244" s="29"/>
      <c r="B244" s="30"/>
      <c r="C244" s="45"/>
      <c r="D244" s="45"/>
    </row>
    <row r="245" spans="1:4" x14ac:dyDescent="0.2">
      <c r="A245" s="29"/>
      <c r="B245" s="47" t="s">
        <v>152</v>
      </c>
      <c r="C245" s="45"/>
      <c r="D245" s="45"/>
    </row>
    <row r="246" spans="1:4" x14ac:dyDescent="0.2">
      <c r="A246" s="29"/>
      <c r="B246" s="30"/>
      <c r="C246" s="45"/>
      <c r="D246" s="45"/>
    </row>
    <row r="247" spans="1:4" x14ac:dyDescent="0.2">
      <c r="A247" s="29"/>
      <c r="B247" s="30"/>
      <c r="C247" s="45"/>
      <c r="D247" s="45"/>
    </row>
    <row r="248" spans="1:4" x14ac:dyDescent="0.2">
      <c r="A248" s="29"/>
      <c r="B248" s="30"/>
      <c r="C248" s="45"/>
      <c r="D248" s="45"/>
    </row>
    <row r="249" spans="1:4" x14ac:dyDescent="0.2">
      <c r="A249" s="29"/>
      <c r="B249" s="30"/>
      <c r="C249" s="45"/>
      <c r="D249" s="45"/>
    </row>
    <row r="250" spans="1:4" x14ac:dyDescent="0.2">
      <c r="A250" s="29"/>
      <c r="B250" s="30"/>
      <c r="C250" s="45"/>
      <c r="D250" s="45"/>
    </row>
    <row r="251" spans="1:4" x14ac:dyDescent="0.2">
      <c r="A251" s="29"/>
      <c r="B251" s="30"/>
      <c r="C251" s="45"/>
      <c r="D251" s="45"/>
    </row>
    <row r="252" spans="1:4" x14ac:dyDescent="0.2">
      <c r="A252" s="29"/>
      <c r="B252" s="30"/>
      <c r="C252" s="45"/>
      <c r="D252" s="45"/>
    </row>
    <row r="253" spans="1:4" x14ac:dyDescent="0.2">
      <c r="A253" s="29"/>
      <c r="B253" s="30"/>
      <c r="C253" s="45"/>
      <c r="D253" s="45"/>
    </row>
    <row r="254" spans="1:4" x14ac:dyDescent="0.2">
      <c r="A254" s="29"/>
      <c r="B254" s="30"/>
      <c r="C254" s="45"/>
      <c r="D254" s="45"/>
    </row>
    <row r="255" spans="1:4" x14ac:dyDescent="0.2">
      <c r="A255" s="29"/>
      <c r="B255" s="30"/>
      <c r="C255" s="45"/>
      <c r="D255" s="45"/>
    </row>
    <row r="256" spans="1:4" x14ac:dyDescent="0.2">
      <c r="A256" s="29"/>
      <c r="B256" s="30"/>
      <c r="C256" s="45"/>
      <c r="D256" s="45"/>
    </row>
    <row r="257" spans="1:4" ht="13.5" thickBot="1" x14ac:dyDescent="0.25">
      <c r="A257" s="29"/>
      <c r="B257" s="30"/>
      <c r="C257" s="45"/>
      <c r="D257" s="45"/>
    </row>
    <row r="258" spans="1:4" ht="15.75" x14ac:dyDescent="0.3">
      <c r="A258" s="29" t="s">
        <v>8</v>
      </c>
      <c r="B258" s="30" t="s">
        <v>106</v>
      </c>
      <c r="C258" s="45" t="s">
        <v>107</v>
      </c>
      <c r="D258" s="6">
        <v>1</v>
      </c>
    </row>
    <row r="259" spans="1:4" ht="15.75" x14ac:dyDescent="0.3">
      <c r="A259" s="29"/>
      <c r="B259" s="30"/>
      <c r="C259" s="45" t="s">
        <v>108</v>
      </c>
      <c r="D259" s="7">
        <v>2</v>
      </c>
    </row>
    <row r="260" spans="1:4" ht="15.75" x14ac:dyDescent="0.3">
      <c r="A260" s="29"/>
      <c r="B260" s="30"/>
      <c r="C260" s="45" t="s">
        <v>118</v>
      </c>
      <c r="D260" s="7">
        <v>3</v>
      </c>
    </row>
    <row r="261" spans="1:4" ht="16.5" thickBot="1" x14ac:dyDescent="0.35">
      <c r="A261" s="29"/>
      <c r="B261" s="30"/>
      <c r="C261" s="45" t="s">
        <v>138</v>
      </c>
      <c r="D261" s="56">
        <v>4</v>
      </c>
    </row>
    <row r="262" spans="1:4" ht="16.5" thickBot="1" x14ac:dyDescent="0.35">
      <c r="A262" s="29"/>
      <c r="B262" s="30"/>
      <c r="C262" s="45" t="s">
        <v>139</v>
      </c>
      <c r="D262" s="46">
        <f>D152</f>
        <v>145</v>
      </c>
    </row>
    <row r="263" spans="1:4" x14ac:dyDescent="0.2">
      <c r="A263" s="29"/>
      <c r="B263" s="30" t="s">
        <v>124</v>
      </c>
      <c r="C263" s="45" t="s">
        <v>125</v>
      </c>
      <c r="D263" s="6">
        <v>1</v>
      </c>
    </row>
    <row r="264" spans="1:4" ht="15.75" x14ac:dyDescent="0.3">
      <c r="A264" s="29"/>
      <c r="B264" s="30" t="s">
        <v>110</v>
      </c>
      <c r="C264" s="45" t="s">
        <v>111</v>
      </c>
      <c r="D264" s="7">
        <v>2</v>
      </c>
    </row>
    <row r="265" spans="1:4" ht="15.75" x14ac:dyDescent="0.3">
      <c r="A265" s="29"/>
      <c r="B265" s="30"/>
      <c r="C265" s="45" t="s">
        <v>112</v>
      </c>
      <c r="D265" s="7">
        <v>3</v>
      </c>
    </row>
    <row r="266" spans="1:4" ht="16.5" thickBot="1" x14ac:dyDescent="0.35">
      <c r="A266" s="29"/>
      <c r="B266" s="30"/>
      <c r="C266" s="45" t="s">
        <v>113</v>
      </c>
      <c r="D266" s="56">
        <v>4</v>
      </c>
    </row>
    <row r="267" spans="1:4" ht="13.5" thickBot="1" x14ac:dyDescent="0.25">
      <c r="A267" s="29"/>
      <c r="B267" s="30"/>
      <c r="C267" s="45"/>
      <c r="D267" s="45"/>
    </row>
    <row r="268" spans="1:4" ht="13.5" thickBot="1" x14ac:dyDescent="0.25">
      <c r="A268" s="29"/>
      <c r="B268" s="30" t="s">
        <v>114</v>
      </c>
      <c r="C268" s="45" t="s">
        <v>140</v>
      </c>
      <c r="D268" s="57">
        <v>0</v>
      </c>
    </row>
    <row r="269" spans="1:4" x14ac:dyDescent="0.2">
      <c r="A269" s="29"/>
      <c r="B269" s="30"/>
      <c r="C269" s="45"/>
      <c r="D269" s="45"/>
    </row>
    <row r="270" spans="1:4" x14ac:dyDescent="0.2">
      <c r="A270" s="29"/>
      <c r="B270" s="30" t="s">
        <v>130</v>
      </c>
      <c r="C270" s="45"/>
      <c r="D270" s="45"/>
    </row>
    <row r="271" spans="1:4" x14ac:dyDescent="0.2">
      <c r="A271" s="29"/>
      <c r="B271" s="30"/>
      <c r="C271" s="45"/>
      <c r="D271" s="45"/>
    </row>
    <row r="272" spans="1:4" x14ac:dyDescent="0.2">
      <c r="A272" s="29"/>
      <c r="B272" s="30"/>
      <c r="C272" s="45"/>
      <c r="D272" s="45"/>
    </row>
    <row r="273" spans="1:4" x14ac:dyDescent="0.2">
      <c r="A273" s="29"/>
      <c r="B273" s="30"/>
      <c r="C273" s="30"/>
      <c r="D273" s="30"/>
    </row>
    <row r="274" spans="1:4" x14ac:dyDescent="0.2">
      <c r="A274" s="29"/>
      <c r="B274" s="30"/>
      <c r="C274" s="30"/>
      <c r="D274" s="30"/>
    </row>
    <row r="275" spans="1:4" x14ac:dyDescent="0.2">
      <c r="A275" s="29"/>
      <c r="B275" s="30"/>
      <c r="C275" s="30"/>
      <c r="D275" s="30"/>
    </row>
    <row r="276" spans="1:4" x14ac:dyDescent="0.2">
      <c r="A276" s="29"/>
      <c r="B276" s="30"/>
      <c r="C276" s="30"/>
      <c r="D276" s="30"/>
    </row>
    <row r="277" spans="1:4" x14ac:dyDescent="0.2">
      <c r="A277" s="29"/>
      <c r="B277" s="30"/>
      <c r="C277" s="30"/>
      <c r="D277" s="30"/>
    </row>
    <row r="278" spans="1:4" x14ac:dyDescent="0.2">
      <c r="A278" s="29"/>
      <c r="B278" s="30"/>
      <c r="C278" s="30"/>
      <c r="D278" s="30"/>
    </row>
    <row r="279" spans="1:4" x14ac:dyDescent="0.2">
      <c r="A279" s="29"/>
      <c r="B279" s="30"/>
      <c r="C279" s="30"/>
      <c r="D279" s="30"/>
    </row>
    <row r="280" spans="1:4" x14ac:dyDescent="0.2">
      <c r="A280" s="29"/>
      <c r="B280" s="30"/>
      <c r="C280" s="30"/>
      <c r="D280" s="30"/>
    </row>
    <row r="281" spans="1:4" x14ac:dyDescent="0.2">
      <c r="A281" s="29"/>
      <c r="B281" s="30"/>
      <c r="C281" s="30"/>
      <c r="D281" s="30"/>
    </row>
    <row r="282" spans="1:4" x14ac:dyDescent="0.2">
      <c r="A282" s="29"/>
      <c r="B282" s="30"/>
      <c r="C282" s="30"/>
      <c r="D282" s="30"/>
    </row>
    <row r="283" spans="1:4" x14ac:dyDescent="0.2">
      <c r="A283" s="29"/>
      <c r="B283" s="30"/>
      <c r="C283" s="30"/>
      <c r="D283" s="30"/>
    </row>
    <row r="284" spans="1:4" x14ac:dyDescent="0.2">
      <c r="A284" s="29"/>
      <c r="B284" s="30"/>
      <c r="C284" s="30"/>
      <c r="D284" s="30"/>
    </row>
    <row r="285" spans="1:4" x14ac:dyDescent="0.2">
      <c r="A285" s="29"/>
      <c r="B285" s="30"/>
      <c r="C285" s="30"/>
      <c r="D285" s="30"/>
    </row>
    <row r="286" spans="1:4" x14ac:dyDescent="0.2">
      <c r="A286" s="29"/>
      <c r="B286" s="30"/>
      <c r="C286" s="30"/>
      <c r="D286" s="30"/>
    </row>
    <row r="287" spans="1:4" x14ac:dyDescent="0.2">
      <c r="A287" s="29"/>
      <c r="B287" s="30"/>
      <c r="C287" s="30"/>
      <c r="D287" s="30"/>
    </row>
    <row r="288" spans="1:4" x14ac:dyDescent="0.2">
      <c r="A288" s="29"/>
      <c r="B288" s="30"/>
      <c r="C288" s="30"/>
      <c r="D288" s="30"/>
    </row>
    <row r="289" spans="1:4" x14ac:dyDescent="0.2">
      <c r="A289" s="29"/>
      <c r="B289" s="30"/>
      <c r="C289" s="30"/>
      <c r="D289" s="30"/>
    </row>
    <row r="290" spans="1:4" x14ac:dyDescent="0.2">
      <c r="A290" s="29"/>
      <c r="B290" s="30"/>
      <c r="C290" s="30"/>
      <c r="D290" s="30"/>
    </row>
    <row r="291" spans="1:4" x14ac:dyDescent="0.2">
      <c r="A291" s="29"/>
      <c r="B291" s="30"/>
      <c r="C291" s="30"/>
      <c r="D291" s="30"/>
    </row>
    <row r="292" spans="1:4" x14ac:dyDescent="0.2">
      <c r="A292" s="29"/>
      <c r="B292" s="30"/>
      <c r="C292" s="30"/>
      <c r="D292" s="30"/>
    </row>
    <row r="293" spans="1:4" x14ac:dyDescent="0.2">
      <c r="A293" s="29"/>
      <c r="B293" s="30"/>
      <c r="C293" s="30"/>
      <c r="D293" s="30"/>
    </row>
    <row r="294" spans="1:4" x14ac:dyDescent="0.2">
      <c r="A294" s="29"/>
      <c r="B294" s="30"/>
      <c r="C294" s="30"/>
      <c r="D294" s="30"/>
    </row>
    <row r="295" spans="1:4" x14ac:dyDescent="0.2">
      <c r="A295" s="29"/>
      <c r="B295" s="30"/>
      <c r="C295" s="30"/>
      <c r="D295" s="30"/>
    </row>
    <row r="296" spans="1:4" x14ac:dyDescent="0.2">
      <c r="A296" s="29"/>
      <c r="B296" s="30"/>
      <c r="C296" s="30"/>
      <c r="D296" s="30"/>
    </row>
    <row r="297" spans="1:4" x14ac:dyDescent="0.2">
      <c r="A297" s="29"/>
      <c r="B297" s="30"/>
      <c r="C297" s="30"/>
      <c r="D297" s="30"/>
    </row>
    <row r="298" spans="1:4" x14ac:dyDescent="0.2">
      <c r="A298" s="29"/>
      <c r="B298" s="30"/>
      <c r="C298" s="30"/>
      <c r="D298" s="30"/>
    </row>
    <row r="299" spans="1:4" x14ac:dyDescent="0.2">
      <c r="A299" s="29"/>
      <c r="B299" s="30"/>
      <c r="C299" s="30"/>
      <c r="D299" s="30"/>
    </row>
    <row r="300" spans="1:4" x14ac:dyDescent="0.2">
      <c r="A300" s="29"/>
      <c r="B300" s="30"/>
      <c r="C300" s="30"/>
      <c r="D300" s="30"/>
    </row>
    <row r="301" spans="1:4" x14ac:dyDescent="0.2">
      <c r="A301" s="29"/>
      <c r="B301" s="30"/>
      <c r="C301" s="30"/>
      <c r="D301" s="30"/>
    </row>
    <row r="302" spans="1:4" x14ac:dyDescent="0.2">
      <c r="A302" s="29"/>
      <c r="B302" s="30"/>
      <c r="C302" s="30"/>
      <c r="D302" s="30"/>
    </row>
    <row r="303" spans="1:4" x14ac:dyDescent="0.2">
      <c r="A303" s="29"/>
      <c r="B303" s="30"/>
      <c r="C303" s="30"/>
      <c r="D303" s="30"/>
    </row>
    <row r="304" spans="1:4" x14ac:dyDescent="0.2">
      <c r="A304" s="29"/>
      <c r="B304" s="30"/>
      <c r="C304" s="30"/>
      <c r="D304" s="30"/>
    </row>
    <row r="305" spans="1:4" x14ac:dyDescent="0.2">
      <c r="A305" s="29"/>
      <c r="B305" s="30"/>
      <c r="C305" s="30"/>
      <c r="D305" s="30"/>
    </row>
    <row r="306" spans="1:4" x14ac:dyDescent="0.2">
      <c r="A306" s="29"/>
      <c r="B306" s="30"/>
      <c r="C306" s="30"/>
      <c r="D306" s="30"/>
    </row>
    <row r="307" spans="1:4" x14ac:dyDescent="0.2">
      <c r="A307" s="29"/>
      <c r="B307" s="30"/>
      <c r="C307" s="30"/>
      <c r="D307" s="30"/>
    </row>
    <row r="308" spans="1:4" x14ac:dyDescent="0.2">
      <c r="A308" s="29"/>
      <c r="B308" s="30"/>
      <c r="C308" s="30"/>
      <c r="D308" s="30"/>
    </row>
    <row r="309" spans="1:4" x14ac:dyDescent="0.2">
      <c r="A309" s="29"/>
      <c r="B309" s="30"/>
      <c r="C309" s="30"/>
      <c r="D309" s="30"/>
    </row>
    <row r="310" spans="1:4" x14ac:dyDescent="0.2">
      <c r="A310" s="29"/>
      <c r="B310" s="30"/>
      <c r="C310" s="30"/>
      <c r="D310" s="30"/>
    </row>
    <row r="311" spans="1:4" x14ac:dyDescent="0.2">
      <c r="A311" s="29"/>
      <c r="B311" s="30"/>
      <c r="C311" s="30"/>
      <c r="D311" s="30"/>
    </row>
    <row r="312" spans="1:4" x14ac:dyDescent="0.2">
      <c r="A312" s="29"/>
      <c r="B312" s="30"/>
      <c r="C312" s="30"/>
      <c r="D312" s="30"/>
    </row>
    <row r="313" spans="1:4" x14ac:dyDescent="0.2">
      <c r="A313" s="29"/>
      <c r="B313" s="30"/>
      <c r="C313" s="30"/>
      <c r="D313" s="30"/>
    </row>
  </sheetData>
  <sheetProtection sheet="1" scenarios="1"/>
  <phoneticPr fontId="0" type="noConversion"/>
  <pageMargins left="0.78740157499999996" right="0.78740157499999996" top="0.984251969" bottom="0.984251969" header="0.51181102300000003" footer="0.51181102300000003"/>
  <pageSetup paperSize="9" orientation="portrait" blackAndWhite="1" horizontalDpi="300" verticalDpi="300" r:id="rId1"/>
  <headerFooter alignWithMargins="0">
    <oddHeader>&amp;A</oddHeader>
    <oddFooter>Seite &amp;P</oddFooter>
  </headerFooter>
  <drawing r:id="rId2"/>
  <legacyDrawing r:id="rId3"/>
  <oleObjects>
    <mc:AlternateContent xmlns:mc="http://schemas.openxmlformats.org/markup-compatibility/2006">
      <mc:Choice Requires="x14">
        <oleObject progId="AutoCAD.Drawing.14" shapeId="3113" r:id="rId4">
          <objectPr defaultSize="0" autoPict="0" r:id="rId5">
            <anchor moveWithCells="1">
              <from>
                <xdr:col>1</xdr:col>
                <xdr:colOff>28575</xdr:colOff>
                <xdr:row>1</xdr:row>
                <xdr:rowOff>0</xdr:rowOff>
              </from>
              <to>
                <xdr:col>3</xdr:col>
                <xdr:colOff>28575</xdr:colOff>
                <xdr:row>12</xdr:row>
                <xdr:rowOff>161925</xdr:rowOff>
              </to>
            </anchor>
          </objectPr>
        </oleObject>
      </mc:Choice>
      <mc:Fallback>
        <oleObject progId="AutoCAD.Drawing.14" shapeId="3113" r:id="rId4"/>
      </mc:Fallback>
    </mc:AlternateContent>
    <mc:AlternateContent xmlns:mc="http://schemas.openxmlformats.org/markup-compatibility/2006">
      <mc:Choice Requires="x14">
        <oleObject progId="AutoCAD.Drawing.14" shapeId="3114" r:id="rId6">
          <objectPr defaultSize="0" autoPict="0" r:id="rId7">
            <anchor moveWithCells="1">
              <from>
                <xdr:col>1</xdr:col>
                <xdr:colOff>9525</xdr:colOff>
                <xdr:row>26</xdr:row>
                <xdr:rowOff>9525</xdr:rowOff>
              </from>
              <to>
                <xdr:col>2</xdr:col>
                <xdr:colOff>838200</xdr:colOff>
                <xdr:row>38</xdr:row>
                <xdr:rowOff>9525</xdr:rowOff>
              </to>
            </anchor>
          </objectPr>
        </oleObject>
      </mc:Choice>
      <mc:Fallback>
        <oleObject progId="AutoCAD.Drawing.14" shapeId="3114" r:id="rId6"/>
      </mc:Fallback>
    </mc:AlternateContent>
    <mc:AlternateContent xmlns:mc="http://schemas.openxmlformats.org/markup-compatibility/2006">
      <mc:Choice Requires="x14">
        <oleObject progId="AutoCAD.Drawing.14" shapeId="3115" r:id="rId8">
          <objectPr defaultSize="0" autoPict="0" r:id="rId9">
            <anchor moveWithCells="1">
              <from>
                <xdr:col>1</xdr:col>
                <xdr:colOff>28575</xdr:colOff>
                <xdr:row>53</xdr:row>
                <xdr:rowOff>9525</xdr:rowOff>
              </from>
              <to>
                <xdr:col>2</xdr:col>
                <xdr:colOff>800100</xdr:colOff>
                <xdr:row>64</xdr:row>
                <xdr:rowOff>142875</xdr:rowOff>
              </to>
            </anchor>
          </objectPr>
        </oleObject>
      </mc:Choice>
      <mc:Fallback>
        <oleObject progId="AutoCAD.Drawing.14" shapeId="3115" r:id="rId8"/>
      </mc:Fallback>
    </mc:AlternateContent>
    <mc:AlternateContent xmlns:mc="http://schemas.openxmlformats.org/markup-compatibility/2006">
      <mc:Choice Requires="x14">
        <oleObject progId="AutoCAD.Drawing.14" shapeId="3116" r:id="rId10">
          <objectPr defaultSize="0" autoPict="0" r:id="rId11">
            <anchor moveWithCells="1">
              <from>
                <xdr:col>1</xdr:col>
                <xdr:colOff>9525</xdr:colOff>
                <xdr:row>109</xdr:row>
                <xdr:rowOff>0</xdr:rowOff>
              </from>
              <to>
                <xdr:col>3</xdr:col>
                <xdr:colOff>9525</xdr:colOff>
                <xdr:row>121</xdr:row>
                <xdr:rowOff>9525</xdr:rowOff>
              </to>
            </anchor>
          </objectPr>
        </oleObject>
      </mc:Choice>
      <mc:Fallback>
        <oleObject progId="AutoCAD.Drawing.14" shapeId="3116" r:id="rId10"/>
      </mc:Fallback>
    </mc:AlternateContent>
    <mc:AlternateContent xmlns:mc="http://schemas.openxmlformats.org/markup-compatibility/2006">
      <mc:Choice Requires="x14">
        <oleObject progId="AutoCAD.Drawing.14" shapeId="3117" r:id="rId12">
          <objectPr defaultSize="0" autoPict="0" r:id="rId13">
            <anchor moveWithCells="1">
              <from>
                <xdr:col>1</xdr:col>
                <xdr:colOff>19050</xdr:colOff>
                <xdr:row>137</xdr:row>
                <xdr:rowOff>19050</xdr:rowOff>
              </from>
              <to>
                <xdr:col>3</xdr:col>
                <xdr:colOff>19050</xdr:colOff>
                <xdr:row>149</xdr:row>
                <xdr:rowOff>0</xdr:rowOff>
              </to>
            </anchor>
          </objectPr>
        </oleObject>
      </mc:Choice>
      <mc:Fallback>
        <oleObject progId="AutoCAD.Drawing.14" shapeId="3117" r:id="rId12"/>
      </mc:Fallback>
    </mc:AlternateContent>
    <mc:AlternateContent xmlns:mc="http://schemas.openxmlformats.org/markup-compatibility/2006">
      <mc:Choice Requires="x14">
        <oleObject progId="AutoCAD.Drawing.14" shapeId="3118" r:id="rId14">
          <objectPr defaultSize="0" autoPict="0" r:id="rId15">
            <anchor moveWithCells="1">
              <from>
                <xdr:col>1</xdr:col>
                <xdr:colOff>28575</xdr:colOff>
                <xdr:row>162</xdr:row>
                <xdr:rowOff>9525</xdr:rowOff>
              </from>
              <to>
                <xdr:col>3</xdr:col>
                <xdr:colOff>9525</xdr:colOff>
                <xdr:row>174</xdr:row>
                <xdr:rowOff>0</xdr:rowOff>
              </to>
            </anchor>
          </objectPr>
        </oleObject>
      </mc:Choice>
      <mc:Fallback>
        <oleObject progId="AutoCAD.Drawing.14" shapeId="3118" r:id="rId14"/>
      </mc:Fallback>
    </mc:AlternateContent>
    <mc:AlternateContent xmlns:mc="http://schemas.openxmlformats.org/markup-compatibility/2006">
      <mc:Choice Requires="x14">
        <oleObject progId="AutoCAD.Drawing.14" shapeId="3119" r:id="rId16">
          <objectPr defaultSize="0" autoPict="0" r:id="rId17">
            <anchor moveWithCells="1">
              <from>
                <xdr:col>1</xdr:col>
                <xdr:colOff>9525</xdr:colOff>
                <xdr:row>190</xdr:row>
                <xdr:rowOff>0</xdr:rowOff>
              </from>
              <to>
                <xdr:col>3</xdr:col>
                <xdr:colOff>9525</xdr:colOff>
                <xdr:row>201</xdr:row>
                <xdr:rowOff>152400</xdr:rowOff>
              </to>
            </anchor>
          </objectPr>
        </oleObject>
      </mc:Choice>
      <mc:Fallback>
        <oleObject progId="AutoCAD.Drawing.14" shapeId="3119" r:id="rId16"/>
      </mc:Fallback>
    </mc:AlternateContent>
    <mc:AlternateContent xmlns:mc="http://schemas.openxmlformats.org/markup-compatibility/2006">
      <mc:Choice Requires="x14">
        <oleObject progId="AutoCAD.Drawing.14" shapeId="3120" r:id="rId18">
          <objectPr defaultSize="0" autoPict="0" r:id="rId19">
            <anchor moveWithCells="1">
              <from>
                <xdr:col>1</xdr:col>
                <xdr:colOff>28575</xdr:colOff>
                <xdr:row>218</xdr:row>
                <xdr:rowOff>9525</xdr:rowOff>
              </from>
              <to>
                <xdr:col>3</xdr:col>
                <xdr:colOff>28575</xdr:colOff>
                <xdr:row>229</xdr:row>
                <xdr:rowOff>123825</xdr:rowOff>
              </to>
            </anchor>
          </objectPr>
        </oleObject>
      </mc:Choice>
      <mc:Fallback>
        <oleObject progId="AutoCAD.Drawing.14" shapeId="3120" r:id="rId18"/>
      </mc:Fallback>
    </mc:AlternateContent>
    <mc:AlternateContent xmlns:mc="http://schemas.openxmlformats.org/markup-compatibility/2006">
      <mc:Choice Requires="x14">
        <oleObject progId="AutoCAD.Drawing.14" shapeId="3121" r:id="rId20">
          <objectPr defaultSize="0" autoPict="0" r:id="rId21">
            <anchor moveWithCells="1">
              <from>
                <xdr:col>1</xdr:col>
                <xdr:colOff>19050</xdr:colOff>
                <xdr:row>245</xdr:row>
                <xdr:rowOff>0</xdr:rowOff>
              </from>
              <to>
                <xdr:col>3</xdr:col>
                <xdr:colOff>19050</xdr:colOff>
                <xdr:row>256</xdr:row>
                <xdr:rowOff>142875</xdr:rowOff>
              </to>
            </anchor>
          </objectPr>
        </oleObject>
      </mc:Choice>
      <mc:Fallback>
        <oleObject progId="AutoCAD.Drawing.14" shapeId="3121" r:id="rId20"/>
      </mc:Fallback>
    </mc:AlternateContent>
    <mc:AlternateContent xmlns:mc="http://schemas.openxmlformats.org/markup-compatibility/2006">
      <mc:Choice Requires="x14">
        <oleObject progId="AutoCAD.Drawing.14" shapeId="3321" r:id="rId22">
          <objectPr defaultSize="0" autoFill="0" autoPict="0" r:id="rId23">
            <anchor moveWithCells="1">
              <from>
                <xdr:col>1</xdr:col>
                <xdr:colOff>28575</xdr:colOff>
                <xdr:row>81</xdr:row>
                <xdr:rowOff>9525</xdr:rowOff>
              </from>
              <to>
                <xdr:col>3</xdr:col>
                <xdr:colOff>85725</xdr:colOff>
                <xdr:row>92</xdr:row>
                <xdr:rowOff>133350</xdr:rowOff>
              </to>
            </anchor>
          </objectPr>
        </oleObject>
      </mc:Choice>
      <mc:Fallback>
        <oleObject progId="AutoCAD.Drawing.14" shapeId="3321" r:id="rId22"/>
      </mc:Fallback>
    </mc:AlternateContent>
  </oleObjects>
  <mc:AlternateContent xmlns:mc="http://schemas.openxmlformats.org/markup-compatibility/2006">
    <mc:Choice Requires="x14">
      <controls>
        <mc:AlternateContent xmlns:mc="http://schemas.openxmlformats.org/markup-compatibility/2006">
          <mc:Choice Requires="x14">
            <control shapeId="3093" r:id="rId24" name="Button 21">
              <controlPr defaultSize="0" autoFill="0" autoLine="0" autoPict="0" macro="[0]!Makro32">
                <anchor moveWithCells="1" sizeWithCells="1">
                  <from>
                    <xdr:col>3</xdr:col>
                    <xdr:colOff>9525</xdr:colOff>
                    <xdr:row>21</xdr:row>
                    <xdr:rowOff>142875</xdr:rowOff>
                  </from>
                  <to>
                    <xdr:col>4</xdr:col>
                    <xdr:colOff>0</xdr:colOff>
                    <xdr:row>23</xdr:row>
                    <xdr:rowOff>9525</xdr:rowOff>
                  </to>
                </anchor>
              </controlPr>
            </control>
          </mc:Choice>
        </mc:AlternateContent>
        <mc:AlternateContent xmlns:mc="http://schemas.openxmlformats.org/markup-compatibility/2006">
          <mc:Choice Requires="x14">
            <control shapeId="3094" r:id="rId25" name="Button 22">
              <controlPr defaultSize="0" autoFill="0" autoLine="0" autoPict="0" macro="[0]!Makro33">
                <anchor moveWithCells="1" sizeWithCells="1">
                  <from>
                    <xdr:col>3</xdr:col>
                    <xdr:colOff>9525</xdr:colOff>
                    <xdr:row>23</xdr:row>
                    <xdr:rowOff>152400</xdr:rowOff>
                  </from>
                  <to>
                    <xdr:col>4</xdr:col>
                    <xdr:colOff>0</xdr:colOff>
                    <xdr:row>25</xdr:row>
                    <xdr:rowOff>0</xdr:rowOff>
                  </to>
                </anchor>
              </controlPr>
            </control>
          </mc:Choice>
        </mc:AlternateContent>
        <mc:AlternateContent xmlns:mc="http://schemas.openxmlformats.org/markup-compatibility/2006">
          <mc:Choice Requires="x14">
            <control shapeId="3095" r:id="rId26" name="Button 23">
              <controlPr defaultSize="0" autoFill="0" autoLine="0" autoPict="0" macro="[0]!Makro35">
                <anchor moveWithCells="1" sizeWithCells="1">
                  <from>
                    <xdr:col>3</xdr:col>
                    <xdr:colOff>9525</xdr:colOff>
                    <xdr:row>48</xdr:row>
                    <xdr:rowOff>142875</xdr:rowOff>
                  </from>
                  <to>
                    <xdr:col>4</xdr:col>
                    <xdr:colOff>0</xdr:colOff>
                    <xdr:row>50</xdr:row>
                    <xdr:rowOff>9525</xdr:rowOff>
                  </to>
                </anchor>
              </controlPr>
            </control>
          </mc:Choice>
        </mc:AlternateContent>
        <mc:AlternateContent xmlns:mc="http://schemas.openxmlformats.org/markup-compatibility/2006">
          <mc:Choice Requires="x14">
            <control shapeId="3096" r:id="rId27" name="Button 24">
              <controlPr defaultSize="0" autoFill="0" autoLine="0" autoPict="0" macro="[0]!Makro36">
                <anchor moveWithCells="1" sizeWithCells="1">
                  <from>
                    <xdr:col>2</xdr:col>
                    <xdr:colOff>838200</xdr:colOff>
                    <xdr:row>50</xdr:row>
                    <xdr:rowOff>123825</xdr:rowOff>
                  </from>
                  <to>
                    <xdr:col>3</xdr:col>
                    <xdr:colOff>828675</xdr:colOff>
                    <xdr:row>51</xdr:row>
                    <xdr:rowOff>152400</xdr:rowOff>
                  </to>
                </anchor>
              </controlPr>
            </control>
          </mc:Choice>
        </mc:AlternateContent>
        <mc:AlternateContent xmlns:mc="http://schemas.openxmlformats.org/markup-compatibility/2006">
          <mc:Choice Requires="x14">
            <control shapeId="3097" r:id="rId28" name="Button 25">
              <controlPr defaultSize="0" autoFill="0" autoLine="0" autoPict="0" macro="[0]!Makro38">
                <anchor moveWithCells="1" sizeWithCells="1">
                  <from>
                    <xdr:col>3</xdr:col>
                    <xdr:colOff>9525</xdr:colOff>
                    <xdr:row>75</xdr:row>
                    <xdr:rowOff>142875</xdr:rowOff>
                  </from>
                  <to>
                    <xdr:col>4</xdr:col>
                    <xdr:colOff>0</xdr:colOff>
                    <xdr:row>77</xdr:row>
                    <xdr:rowOff>9525</xdr:rowOff>
                  </to>
                </anchor>
              </controlPr>
            </control>
          </mc:Choice>
        </mc:AlternateContent>
        <mc:AlternateContent xmlns:mc="http://schemas.openxmlformats.org/markup-compatibility/2006">
          <mc:Choice Requires="x14">
            <control shapeId="3098" r:id="rId29" name="Button 26">
              <controlPr defaultSize="0" autoFill="0" autoLine="0" autoPict="0" macro="[0]!Makro39">
                <anchor moveWithCells="1" sizeWithCells="1">
                  <from>
                    <xdr:col>3</xdr:col>
                    <xdr:colOff>9525</xdr:colOff>
                    <xdr:row>77</xdr:row>
                    <xdr:rowOff>152400</xdr:rowOff>
                  </from>
                  <to>
                    <xdr:col>4</xdr:col>
                    <xdr:colOff>0</xdr:colOff>
                    <xdr:row>79</xdr:row>
                    <xdr:rowOff>19050</xdr:rowOff>
                  </to>
                </anchor>
              </controlPr>
            </control>
          </mc:Choice>
        </mc:AlternateContent>
        <mc:AlternateContent xmlns:mc="http://schemas.openxmlformats.org/markup-compatibility/2006">
          <mc:Choice Requires="x14">
            <control shapeId="3099" r:id="rId30" name="Button 27">
              <controlPr defaultSize="0" autoFill="0" autoLine="0" autoPict="0" macro="[0]!Makro41">
                <anchor moveWithCells="1" sizeWithCells="1">
                  <from>
                    <xdr:col>3</xdr:col>
                    <xdr:colOff>9525</xdr:colOff>
                    <xdr:row>103</xdr:row>
                    <xdr:rowOff>142875</xdr:rowOff>
                  </from>
                  <to>
                    <xdr:col>4</xdr:col>
                    <xdr:colOff>0</xdr:colOff>
                    <xdr:row>105</xdr:row>
                    <xdr:rowOff>9525</xdr:rowOff>
                  </to>
                </anchor>
              </controlPr>
            </control>
          </mc:Choice>
        </mc:AlternateContent>
        <mc:AlternateContent xmlns:mc="http://schemas.openxmlformats.org/markup-compatibility/2006">
          <mc:Choice Requires="x14">
            <control shapeId="3100" r:id="rId31" name="Button 28">
              <controlPr defaultSize="0" autoFill="0" autoLine="0" autoPict="0" macro="[0]!Makro42">
                <anchor moveWithCells="1" sizeWithCells="1">
                  <from>
                    <xdr:col>3</xdr:col>
                    <xdr:colOff>9525</xdr:colOff>
                    <xdr:row>105</xdr:row>
                    <xdr:rowOff>152400</xdr:rowOff>
                  </from>
                  <to>
                    <xdr:col>4</xdr:col>
                    <xdr:colOff>0</xdr:colOff>
                    <xdr:row>107</xdr:row>
                    <xdr:rowOff>19050</xdr:rowOff>
                  </to>
                </anchor>
              </controlPr>
            </control>
          </mc:Choice>
        </mc:AlternateContent>
        <mc:AlternateContent xmlns:mc="http://schemas.openxmlformats.org/markup-compatibility/2006">
          <mc:Choice Requires="x14">
            <control shapeId="3101" r:id="rId32" name="Button 29">
              <controlPr defaultSize="0" autoFill="0" autoLine="0" autoPict="0" macro="[0]!Makro44">
                <anchor moveWithCells="1" sizeWithCells="1">
                  <from>
                    <xdr:col>3</xdr:col>
                    <xdr:colOff>9525</xdr:colOff>
                    <xdr:row>132</xdr:row>
                    <xdr:rowOff>142875</xdr:rowOff>
                  </from>
                  <to>
                    <xdr:col>4</xdr:col>
                    <xdr:colOff>0</xdr:colOff>
                    <xdr:row>134</xdr:row>
                    <xdr:rowOff>9525</xdr:rowOff>
                  </to>
                </anchor>
              </controlPr>
            </control>
          </mc:Choice>
        </mc:AlternateContent>
        <mc:AlternateContent xmlns:mc="http://schemas.openxmlformats.org/markup-compatibility/2006">
          <mc:Choice Requires="x14">
            <control shapeId="3102" r:id="rId33" name="Button 30">
              <controlPr defaultSize="0" autoFill="0" autoLine="0" autoPict="0" macro="[0]!Makro45">
                <anchor moveWithCells="1" sizeWithCells="1">
                  <from>
                    <xdr:col>3</xdr:col>
                    <xdr:colOff>9525</xdr:colOff>
                    <xdr:row>134</xdr:row>
                    <xdr:rowOff>152400</xdr:rowOff>
                  </from>
                  <to>
                    <xdr:col>4</xdr:col>
                    <xdr:colOff>0</xdr:colOff>
                    <xdr:row>136</xdr:row>
                    <xdr:rowOff>0</xdr:rowOff>
                  </to>
                </anchor>
              </controlPr>
            </control>
          </mc:Choice>
        </mc:AlternateContent>
        <mc:AlternateContent xmlns:mc="http://schemas.openxmlformats.org/markup-compatibility/2006">
          <mc:Choice Requires="x14">
            <control shapeId="3103" r:id="rId34" name="Button 31">
              <controlPr defaultSize="0" autoFill="0" autoLine="0" autoPict="0" macro="[0]!Makro47">
                <anchor moveWithCells="1" sizeWithCells="1">
                  <from>
                    <xdr:col>3</xdr:col>
                    <xdr:colOff>9525</xdr:colOff>
                    <xdr:row>157</xdr:row>
                    <xdr:rowOff>142875</xdr:rowOff>
                  </from>
                  <to>
                    <xdr:col>4</xdr:col>
                    <xdr:colOff>0</xdr:colOff>
                    <xdr:row>159</xdr:row>
                    <xdr:rowOff>9525</xdr:rowOff>
                  </to>
                </anchor>
              </controlPr>
            </control>
          </mc:Choice>
        </mc:AlternateContent>
        <mc:AlternateContent xmlns:mc="http://schemas.openxmlformats.org/markup-compatibility/2006">
          <mc:Choice Requires="x14">
            <control shapeId="3104" r:id="rId35" name="Button 32">
              <controlPr defaultSize="0" autoFill="0" autoLine="0" autoPict="0" macro="[0]!Makro48">
                <anchor moveWithCells="1" sizeWithCells="1">
                  <from>
                    <xdr:col>3</xdr:col>
                    <xdr:colOff>9525</xdr:colOff>
                    <xdr:row>159</xdr:row>
                    <xdr:rowOff>152400</xdr:rowOff>
                  </from>
                  <to>
                    <xdr:col>4</xdr:col>
                    <xdr:colOff>0</xdr:colOff>
                    <xdr:row>161</xdr:row>
                    <xdr:rowOff>0</xdr:rowOff>
                  </to>
                </anchor>
              </controlPr>
            </control>
          </mc:Choice>
        </mc:AlternateContent>
        <mc:AlternateContent xmlns:mc="http://schemas.openxmlformats.org/markup-compatibility/2006">
          <mc:Choice Requires="x14">
            <control shapeId="3105" r:id="rId36" name="Button 33">
              <controlPr defaultSize="0" autoFill="0" autoLine="0" autoPict="0" macro="[0]!Makro50">
                <anchor moveWithCells="1" sizeWithCells="1">
                  <from>
                    <xdr:col>3</xdr:col>
                    <xdr:colOff>9525</xdr:colOff>
                    <xdr:row>184</xdr:row>
                    <xdr:rowOff>142875</xdr:rowOff>
                  </from>
                  <to>
                    <xdr:col>4</xdr:col>
                    <xdr:colOff>0</xdr:colOff>
                    <xdr:row>186</xdr:row>
                    <xdr:rowOff>9525</xdr:rowOff>
                  </to>
                </anchor>
              </controlPr>
            </control>
          </mc:Choice>
        </mc:AlternateContent>
        <mc:AlternateContent xmlns:mc="http://schemas.openxmlformats.org/markup-compatibility/2006">
          <mc:Choice Requires="x14">
            <control shapeId="3106" r:id="rId37" name="Button 34">
              <controlPr defaultSize="0" autoFill="0" autoLine="0" autoPict="0" macro="[0]!Makro51">
                <anchor moveWithCells="1" sizeWithCells="1">
                  <from>
                    <xdr:col>3</xdr:col>
                    <xdr:colOff>9525</xdr:colOff>
                    <xdr:row>187</xdr:row>
                    <xdr:rowOff>9525</xdr:rowOff>
                  </from>
                  <to>
                    <xdr:col>4</xdr:col>
                    <xdr:colOff>0</xdr:colOff>
                    <xdr:row>188</xdr:row>
                    <xdr:rowOff>38100</xdr:rowOff>
                  </to>
                </anchor>
              </controlPr>
            </control>
          </mc:Choice>
        </mc:AlternateContent>
        <mc:AlternateContent xmlns:mc="http://schemas.openxmlformats.org/markup-compatibility/2006">
          <mc:Choice Requires="x14">
            <control shapeId="3107" r:id="rId38" name="Button 35">
              <controlPr defaultSize="0" autoFill="0" autoLine="0" autoPict="0" macro="[0]!Makro53">
                <anchor moveWithCells="1" sizeWithCells="1">
                  <from>
                    <xdr:col>3</xdr:col>
                    <xdr:colOff>9525</xdr:colOff>
                    <xdr:row>212</xdr:row>
                    <xdr:rowOff>142875</xdr:rowOff>
                  </from>
                  <to>
                    <xdr:col>4</xdr:col>
                    <xdr:colOff>0</xdr:colOff>
                    <xdr:row>214</xdr:row>
                    <xdr:rowOff>9525</xdr:rowOff>
                  </to>
                </anchor>
              </controlPr>
            </control>
          </mc:Choice>
        </mc:AlternateContent>
        <mc:AlternateContent xmlns:mc="http://schemas.openxmlformats.org/markup-compatibility/2006">
          <mc:Choice Requires="x14">
            <control shapeId="3108" r:id="rId39" name="Button 36">
              <controlPr defaultSize="0" autoFill="0" autoLine="0" autoPict="0" macro="[0]!Makro54">
                <anchor moveWithCells="1" sizeWithCells="1">
                  <from>
                    <xdr:col>3</xdr:col>
                    <xdr:colOff>9525</xdr:colOff>
                    <xdr:row>214</xdr:row>
                    <xdr:rowOff>152400</xdr:rowOff>
                  </from>
                  <to>
                    <xdr:col>4</xdr:col>
                    <xdr:colOff>0</xdr:colOff>
                    <xdr:row>216</xdr:row>
                    <xdr:rowOff>19050</xdr:rowOff>
                  </to>
                </anchor>
              </controlPr>
            </control>
          </mc:Choice>
        </mc:AlternateContent>
        <mc:AlternateContent xmlns:mc="http://schemas.openxmlformats.org/markup-compatibility/2006">
          <mc:Choice Requires="x14">
            <control shapeId="3109" r:id="rId40" name="Button 37">
              <controlPr defaultSize="0" autoFill="0" autoLine="0" autoPict="0" macro="[0]!Makro56">
                <anchor moveWithCells="1" sizeWithCells="1">
                  <from>
                    <xdr:col>3</xdr:col>
                    <xdr:colOff>9525</xdr:colOff>
                    <xdr:row>240</xdr:row>
                    <xdr:rowOff>142875</xdr:rowOff>
                  </from>
                  <to>
                    <xdr:col>4</xdr:col>
                    <xdr:colOff>0</xdr:colOff>
                    <xdr:row>242</xdr:row>
                    <xdr:rowOff>9525</xdr:rowOff>
                  </to>
                </anchor>
              </controlPr>
            </control>
          </mc:Choice>
        </mc:AlternateContent>
        <mc:AlternateContent xmlns:mc="http://schemas.openxmlformats.org/markup-compatibility/2006">
          <mc:Choice Requires="x14">
            <control shapeId="3110" r:id="rId41" name="Button 38">
              <controlPr defaultSize="0" autoFill="0" autoLine="0" autoPict="0" macro="[0]!Makro57">
                <anchor moveWithCells="1" sizeWithCells="1">
                  <from>
                    <xdr:col>3</xdr:col>
                    <xdr:colOff>9525</xdr:colOff>
                    <xdr:row>242</xdr:row>
                    <xdr:rowOff>152400</xdr:rowOff>
                  </from>
                  <to>
                    <xdr:col>4</xdr:col>
                    <xdr:colOff>0</xdr:colOff>
                    <xdr:row>244</xdr:row>
                    <xdr:rowOff>0</xdr:rowOff>
                  </to>
                </anchor>
              </controlPr>
            </control>
          </mc:Choice>
        </mc:AlternateContent>
        <mc:AlternateContent xmlns:mc="http://schemas.openxmlformats.org/markup-compatibility/2006">
          <mc:Choice Requires="x14">
            <control shapeId="3111" r:id="rId42" name="Button 39">
              <controlPr defaultSize="0" autoFill="0" autoLine="0" autoPict="0" macro="[0]!Makro59">
                <anchor moveWithCells="1" sizeWithCells="1">
                  <from>
                    <xdr:col>3</xdr:col>
                    <xdr:colOff>9525</xdr:colOff>
                    <xdr:row>268</xdr:row>
                    <xdr:rowOff>142875</xdr:rowOff>
                  </from>
                  <to>
                    <xdr:col>4</xdr:col>
                    <xdr:colOff>0</xdr:colOff>
                    <xdr:row>270</xdr:row>
                    <xdr:rowOff>9525</xdr:rowOff>
                  </to>
                </anchor>
              </controlPr>
            </control>
          </mc:Choice>
        </mc:AlternateContent>
        <mc:AlternateContent xmlns:mc="http://schemas.openxmlformats.org/markup-compatibility/2006">
          <mc:Choice Requires="x14">
            <control shapeId="3112" r:id="rId43" name="Button 40">
              <controlPr defaultSize="0" autoFill="0" autoLine="0" autoPict="0" macro="[0]!Makro60">
                <anchor moveWithCells="1" sizeWithCells="1">
                  <from>
                    <xdr:col>3</xdr:col>
                    <xdr:colOff>9525</xdr:colOff>
                    <xdr:row>270</xdr:row>
                    <xdr:rowOff>152400</xdr:rowOff>
                  </from>
                  <to>
                    <xdr:col>4</xdr:col>
                    <xdr:colOff>0</xdr:colOff>
                    <xdr:row>272</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Welle 60</vt:lpstr>
      <vt:lpstr>Y- Ebene</vt:lpstr>
      <vt:lpstr>X- Ebene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Jürgen</dc:creator>
  <cp:lastModifiedBy>Anika</cp:lastModifiedBy>
  <cp:lastPrinted>2007-02-09T15:45:24Z</cp:lastPrinted>
  <dcterms:created xsi:type="dcterms:W3CDTF">1999-03-10T13:06:00Z</dcterms:created>
  <dcterms:modified xsi:type="dcterms:W3CDTF">2019-11-17T14:03:35Z</dcterms:modified>
</cp:coreProperties>
</file>